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24460" activeTab="4"/>
  </bookViews>
  <sheets>
    <sheet name="诊断结论" sheetId="1" r:id="rId1"/>
    <sheet name="账号数据" sheetId="2" r:id="rId2"/>
    <sheet name="笔记数据" sheetId="3" r:id="rId3"/>
    <sheet name="留存与口径" sheetId="4" r:id="rId4"/>
    <sheet name="比较分析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<sst xmlns="http://schemas.openxmlformats.org/spreadsheetml/2006/main" count="925" uniqueCount="210">
  <si>
    <t>瓜瓜看经营｜账号数据与诊断 · 2026-09-05</t>
  </si>
  <si>
    <t>已读取创作中心：近7/30天账号数据、14篇笔记基础指标、5篇重点留存与粉丝来源。文字判断为本次快照，更新数据后请重新复核。</t>
  </si>
  <si>
    <t>当前粉丝</t>
  </si>
  <si>
    <t>近7日观看（约）</t>
  </si>
  <si>
    <t>近7日新增粉丝</t>
  </si>
  <si>
    <t>近7日窗口：08-28—09-03。新增粉丝与净涨粉存在页面口径差异，见“留存与口径”。</t>
  </si>
  <si>
    <t>重点内容对照｜详情页快照</t>
  </si>
  <si>
    <t>内容</t>
  </si>
  <si>
    <t>观看</t>
  </si>
  <si>
    <t>涨粉</t>
  </si>
  <si>
    <t>每千次观看涨粉</t>
  </si>
  <si>
    <t>平均观看秒</t>
  </si>
  <si>
    <t>完播率</t>
  </si>
  <si>
    <t>2秒退出率</t>
  </si>
  <si>
    <t>平台同类CTR</t>
  </si>
  <si>
    <t>本篇CTR</t>
  </si>
  <si>
    <t>这次数据支持的判断</t>
  </si>
  <si>
    <t>1. 比较型选题已出现突出样本。Manner／M Stand的观看规模最突出，下一轮应优先验证相似选题的复现能力；不能仅凭标题形式重复就要求换方向。</t>
  </si>
  <si>
    <t>2. 同时看传播规模与涨粉效率。咖啡成本、瑞幸／库迪每千次观看涨粉更高。不同分发人群和发布龄会影响比率，不能将小样本效率直接外推。</t>
  </si>
  <si>
    <t>3. 按篇改善留存。瑞幸／库迪均看91.5秒，而封面CTR低于其平台比较组中位数；Manner／M Stand点击表现较好，但前5秒仍有明显流失。先找每篇具体薄弱环节。</t>
  </si>
  <si>
    <t>4. 母婴总览仍在早期观察期，部分数据尚未统计完成；暂不据此否定母婴方向。本次没有逐篇总时长和完整曲线，不能把问题统一归因为视频过长。</t>
  </si>
  <si>
    <t>下一轮：保留比较型题材，重点检查前5秒；对高观看、低涨粉效率的内容加强持续关注理由。统一记录发布后7天数据后，再评价不同系列。</t>
  </si>
  <si>
    <t>瓜瓜看经营｜账号数据快照</t>
  </si>
  <si>
    <t>采集日期：2026-09-05。近7日与近30日均截至2026-09-03；当前粉丝数单独列示。蓝色为页面来源值。</t>
  </si>
  <si>
    <t>指标</t>
  </si>
  <si>
    <t>近7日</t>
  </si>
  <si>
    <t>近30日</t>
  </si>
  <si>
    <t>单位</t>
  </si>
  <si>
    <t>口径说明</t>
  </si>
  <si>
    <t>来源</t>
  </si>
  <si>
    <t>开始日期</t>
  </si>
  <si>
    <t>日期</t>
  </si>
  <si>
    <t>账号统计窗口</t>
  </si>
  <si>
    <t>https://creator.xiaohongshu.com/statistics/account/v2</t>
  </si>
  <si>
    <t>结束日期</t>
  </si>
  <si>
    <t>与笔记首发日期筛选不同</t>
  </si>
  <si>
    <t>曝光数（约）</t>
  </si>
  <si>
    <t>次</t>
  </si>
  <si>
    <t>原页面为5.5万、7.9万，精确值未取得</t>
  </si>
  <si>
    <t>观看数（约）</t>
  </si>
  <si>
    <t>原页面为1.3万、1.7万，精确值未取得</t>
  </si>
  <si>
    <t>封面点击率</t>
  </si>
  <si>
    <t>%</t>
  </si>
  <si>
    <t>直接保留平台值；不可用全来源观看÷曝光重算</t>
  </si>
  <si>
    <t>平均观看时长</t>
  </si>
  <si>
    <t>秒</t>
  </si>
  <si>
    <t>平台聚合口径；不等于各篇均看时长的简单平均</t>
  </si>
  <si>
    <t>观看总时长</t>
  </si>
  <si>
    <t>小时</t>
  </si>
  <si>
    <t>直接保留平台值</t>
  </si>
  <si>
    <t>视频完播率</t>
  </si>
  <si>
    <t>具体视频长度未采集，勿直接推断内容过长</t>
  </si>
  <si>
    <t>点赞数</t>
  </si>
  <si>
    <t>近30日未采集该维度</t>
  </si>
  <si>
    <t>评论数</t>
  </si>
  <si>
    <t>收藏数</t>
  </si>
  <si>
    <t>分享数</t>
  </si>
  <si>
    <t>互动数</t>
  </si>
  <si>
    <t>该页396等于点赞204+评论58+收藏134，未含分享</t>
  </si>
  <si>
    <t>发布数</t>
  </si>
  <si>
    <t>篇</t>
  </si>
  <si>
    <t>统计周期内发布数</t>
  </si>
  <si>
    <t>新增粉丝数</t>
  </si>
  <si>
    <t>人</t>
  </si>
  <si>
    <t>粉丝数据页；不直接称为净涨粉</t>
  </si>
  <si>
    <t>https://creator.xiaohongshu.com/statistics/fans-data</t>
  </si>
  <si>
    <t>流失粉丝数</t>
  </si>
  <si>
    <t>粉丝数据页</t>
  </si>
  <si>
    <t>净涨粉（页面原值）</t>
  </si>
  <si>
    <t>首页显示74，与新增74减流失1不一致；保留原值</t>
  </si>
  <si>
    <t>https://creator.xiaohongshu.com/new/home</t>
  </si>
  <si>
    <t>主页访客</t>
  </si>
  <si>
    <t>当前粉丝及画像</t>
  </si>
  <si>
    <t>当前总粉丝数</t>
  </si>
  <si>
    <t>顶部与粉丝数据页一致；首页成长模块118为另一显示值</t>
  </si>
  <si>
    <t>关注数</t>
  </si>
  <si>
    <t>当前页面值</t>
  </si>
  <si>
    <t>获赞与收藏</t>
  </si>
  <si>
    <t>男性占比</t>
  </si>
  <si>
    <t>粉丝画像；样本小，勿据此锁定长期受众</t>
  </si>
  <si>
    <t>女性占比</t>
  </si>
  <si>
    <t>粉丝来源构成｜页面未注明明确时间范围与分母</t>
  </si>
  <si>
    <t>视频推荐</t>
  </si>
  <si>
    <t>来源构成的明确时间范围与分母未在可读页面说明，勿当作近7天新增粉丝渠道归因。 来源：https://creator.xiaohongshu.com/statistics/fans-data</t>
  </si>
  <si>
    <t>首页推荐</t>
  </si>
  <si>
    <t>个人主页</t>
  </si>
  <si>
    <t>其他来源</t>
  </si>
  <si>
    <t>搜索</t>
  </si>
  <si>
    <t>瓜瓜看经营｜14篇笔记原始数据</t>
  </si>
  <si>
    <t>筛选条件为笔记首发时间2026-08-05至2026-09-05；以下为列表首次采集的页面累计指标。发布时间保留原文，时区未确认。</t>
  </si>
  <si>
    <t>序号</t>
  </si>
  <si>
    <t>标题</t>
  </si>
  <si>
    <t>发布日期</t>
  </si>
  <si>
    <t>发布时间原文</t>
  </si>
  <si>
    <t>曝光</t>
  </si>
  <si>
    <t>点赞</t>
  </si>
  <si>
    <t>评论</t>
  </si>
  <si>
    <t>收藏</t>
  </si>
  <si>
    <t>分享</t>
  </si>
  <si>
    <t>人均观看秒</t>
  </si>
  <si>
    <t>弹幕</t>
  </si>
  <si>
    <t>采集日期</t>
  </si>
  <si>
    <t>宝宝越来越少，母婴生意为什么还在变大？🍼</t>
  </si>
  <si>
    <t>2026-09-04 04:02</t>
  </si>
  <si>
    <t>https://creator.xiaohongshu.com/statistics/data-analysis</t>
  </si>
  <si>
    <t>星巴克，为什么不跟9块9打到底？☕️</t>
  </si>
  <si>
    <t>2026-09-02 04:17</t>
  </si>
  <si>
    <t>🔝瓜瓜看经营，到底看什么？</t>
  </si>
  <si>
    <t>2026-09-02 04:14</t>
  </si>
  <si>
    <t>Manner和M Stand，为什么越做越不像？</t>
  </si>
  <si>
    <t>2026-08-31 04:31</t>
  </si>
  <si>
    <t>9块9之后，瑞幸和库迪为什么走向了两条路？</t>
  </si>
  <si>
    <t>2026-08-28 04:21</t>
  </si>
  <si>
    <t>一杯咖啡的钱，到底被谁赚走了？☕</t>
  </si>
  <si>
    <t>2026-08-26 05:32</t>
  </si>
  <si>
    <t>山姆、盒马、永辉，为什么都在做自有品牌？</t>
  </si>
  <si>
    <t>2026-08-24 03:49</t>
  </si>
  <si>
    <t>小米中报｜Q2收入回来了，毛利率还在跌？</t>
  </si>
  <si>
    <t>2026-08-20 07:00</t>
  </si>
  <si>
    <t>永辉盒马山姆，为什么越做越不一样？</t>
  </si>
  <si>
    <t>2026-08-18 07:22</t>
  </si>
  <si>
    <t>大家都在排队挤山姆，但260 元年费真的值吗？</t>
  </si>
  <si>
    <t>2026-08-13 07:13</t>
  </si>
  <si>
    <t>千亿GMV，盒马到底做对了什么？</t>
  </si>
  <si>
    <t>2026-08-11 04:20</t>
  </si>
  <si>
    <t>除了大金瓶，你喝过东鹏家第二种饮料吗？🥤</t>
  </si>
  <si>
    <t>2026-08-07 21:37</t>
  </si>
  <si>
    <t>智驾天团｜智驾背后的外包大脑Momonta🚗</t>
  </si>
  <si>
    <t>2026-08-06 04:02</t>
  </si>
  <si>
    <t>商超自救指南｜“胖改”后的永辉怎么样了？</t>
  </si>
  <si>
    <t>2026-08-05 07:33</t>
  </si>
  <si>
    <t>重点笔记留存｜平台比较组与统计口径</t>
  </si>
  <si>
    <t>详情页与列表采集时点不同，观看数可能相差1。比较组中位数为平台原值，分组方法未公开。视频总时长未取得。</t>
  </si>
  <si>
    <t>简称</t>
  </si>
  <si>
    <t>观看数</t>
  </si>
  <si>
    <t>本篇封面CTR</t>
  </si>
  <si>
    <t>平台同类CTR中位数</t>
  </si>
  <si>
    <t>5秒离开提示</t>
  </si>
  <si>
    <t>Manner／M Stand</t>
  </si>
  <si>
    <t>页面提示超过36%在5秒内离开</t>
  </si>
  <si>
    <t>https://creator.xiaohongshu.com/statistics/note-detail?noteId=6a95660a00000000260079d3</t>
  </si>
  <si>
    <t>瑞幸／库迪</t>
  </si>
  <si>
    <t>页面提示超过39%在5秒内离开</t>
  </si>
  <si>
    <t>https://creator.xiaohongshu.com/statistics/note-detail?noteId=6a916f43000000001803c681</t>
  </si>
  <si>
    <t>咖啡成本</t>
  </si>
  <si>
    <t>页面提示超过46%在5秒内离开</t>
  </si>
  <si>
    <t>https://creator.xiaohongshu.com/statistics/note-detail?noteId=6a8edcc9000000001803e2a4</t>
  </si>
  <si>
    <t>母婴总览</t>
  </si>
  <si>
    <t>页面提示超过47%在5秒内离开</t>
  </si>
  <si>
    <t>https://creator.xiaohongshu.com/statistics/note-detail?noteId=6a9aa562000000002502c5ea</t>
  </si>
  <si>
    <t>星巴克</t>
  </si>
  <si>
    <t>页面提示超过31%在5秒内离开</t>
  </si>
  <si>
    <t>https://creator.xiaohongshu.com/statistics/note-detail?noteId=6a9805d9000000002502dc88</t>
  </si>
  <si>
    <t>粉丝与全部观众的分群指标</t>
  </si>
  <si>
    <t>粉丝观看占比</t>
  </si>
  <si>
    <t>粉丝平均观看秒</t>
  </si>
  <si>
    <t>粉丝完播率</t>
  </si>
  <si>
    <t>粉丝2秒退出率</t>
  </si>
  <si>
    <t>数据状态</t>
  </si>
  <si>
    <t>基础数据更新至09-04 16:00；观看数实时</t>
  </si>
  <si>
    <t>页面提示部分数据统计中；新发布笔记，观察期未满</t>
  </si>
  <si>
    <t>口径差异与本次未取得的数据</t>
  </si>
  <si>
    <t>1. 笔记列表筛选的是首发时间2026-08-05至2026-09-05，指标为页面展示的累计数据；账号概览是指定周期内数据，两者不能直接相加核对。</t>
  </si>
  <si>
    <t>2. 列表首次采集Manner观看11594、母婴296；随后详情页分别11595、297。保留两个采集快照，不强行拼成同一时点。</t>
  </si>
  <si>
    <t>3. 账号概览净涨粉显示74，但粉丝页新增74、流失1；保留原始值，净额计算单独列示，不改写来源。</t>
  </si>
  <si>
    <t>4. 首页顶部粉丝121，成长旅程模块118；本表使用顶部及粉丝数据页一致的121。</t>
  </si>
  <si>
    <t>5. 首次列表发布时间与随后详情/界面显示存在7小时时差；时间原文保留，分析仅使用发布日期，不据此建议最佳发布时间。</t>
  </si>
  <si>
    <t>6. 曝光5.5万/7.9万、观看1.3万/1.7万为页面四舍五入展示值，不当作精确计数。</t>
  </si>
  <si>
    <t>7. 平台同类中位数和超过多少同类作者只代表该页给出的比较组，分组方法不透明，不能视作全平台排名。</t>
  </si>
  <si>
    <t>8. 每千次观看涨粉=该笔记涨粉÷该笔记观看×1000；这是观测效率，不是可直接外推的因果转化率。</t>
  </si>
  <si>
    <t>9. 本次未取得逐篇视频总时长、完整留存曲线点位、统一发布后7天的历史快照、制作耗时或跨系列复看数据。不能据此断言内容普遍过长。</t>
  </si>
  <si>
    <t>10. 母婴总览发布较新且部分数据统计中；账号介绍与常规内容目标不同，单列解读。</t>
  </si>
  <si>
    <t>比较分析｜观看规模、互动和涨粉效率</t>
  </si>
  <si>
    <t>计算公式基于14篇列表首次采集值。系列分类与简称为人工标注；样本发布龄不同，不作为受控实验或发布后7天排名。</t>
  </si>
  <si>
    <t>系列（人工归类）</t>
  </si>
  <si>
    <t>赞评藏率</t>
  </si>
  <si>
    <t>分享率</t>
  </si>
  <si>
    <t>每千次观看收藏</t>
  </si>
  <si>
    <t>母婴</t>
  </si>
  <si>
    <t>咖啡</t>
  </si>
  <si>
    <t>账号介绍</t>
  </si>
  <si>
    <t>商超自有品牌</t>
  </si>
  <si>
    <t>商超</t>
  </si>
  <si>
    <t>小米中报</t>
  </si>
  <si>
    <t>科技/财报</t>
  </si>
  <si>
    <t>商超经营差异</t>
  </si>
  <si>
    <t>山姆会员费</t>
  </si>
  <si>
    <t>盒马</t>
  </si>
  <si>
    <t>东鹏饮料</t>
  </si>
  <si>
    <t>饮料</t>
  </si>
  <si>
    <t>Momenta（原题Momonta）</t>
  </si>
  <si>
    <t>智驾</t>
  </si>
  <si>
    <t>永辉胖改</t>
  </si>
  <si>
    <t>14篇样本合计</t>
  </si>
  <si>
    <t>系列汇总｜不等同于行业优劣判断</t>
  </si>
  <si>
    <t>系列</t>
  </si>
  <si>
    <t>篇数</t>
  </si>
  <si>
    <t>观看占比</t>
  </si>
  <si>
    <t>涨粉占比</t>
  </si>
  <si>
    <t>5篇详情的对照计算</t>
  </si>
  <si>
    <t>诊断页指标</t>
  </si>
  <si>
    <t>公式值</t>
  </si>
  <si>
    <t>列表笔记数</t>
  </si>
  <si>
    <t>列表观看合计</t>
  </si>
  <si>
    <t>Manner观看占样本比</t>
  </si>
  <si>
    <t>咖啡观看占样本比</t>
  </si>
  <si>
    <t>咖啡涨粉占样本比</t>
  </si>
  <si>
    <t>近7日计算净额</t>
  </si>
  <si>
    <t>近7日页面净额</t>
  </si>
  <si>
    <t>咖啡系列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</si>
</sst>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0.0"/>
    <numFmt numFmtId="178" formatCode="0.0%"/>
  </numFmts>
  <fonts count="28">
    <font>
      <sz val="11"/>
      <name val="Carlito"/>
      <charset val="134"/>
    </font>
    <font>
      <b/>
      <sz val="12"/>
      <color rgb="FFFFFFFF"/>
      <name val="Noto Sans CJK SC"/>
      <charset val="134"/>
    </font>
    <font>
      <sz val="11"/>
      <color rgb="FF647580"/>
      <name val="Noto Sans CJK SC"/>
      <charset val="134"/>
    </font>
    <font>
      <sz val="11"/>
      <color rgb="FF203643"/>
      <name val="Noto Sans CJK SC"/>
      <charset val="134"/>
    </font>
    <font>
      <b/>
      <sz val="11"/>
      <color rgb="FFFFFFFF"/>
      <name val="Noto Sans CJK SC"/>
      <charset val="134"/>
    </font>
    <font>
      <sz val="11"/>
      <color rgb="FF246493"/>
      <name val="Noto Sans CJK SC"/>
      <charset val="134"/>
    </font>
    <font>
      <b/>
      <sz val="18"/>
      <color rgb="FFFFFFFF"/>
      <name val="Noto Sans CJK SC"/>
      <charset val="134"/>
    </font>
    <font>
      <b/>
      <sz val="19"/>
      <color rgb="FF18394B"/>
      <name val="Noto Sans CJK SC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18394B"/>
        <bgColor indexed="64"/>
      </patternFill>
    </fill>
    <fill>
      <patternFill patternType="solid">
        <fgColor rgb="FFF3F7F8"/>
        <bgColor indexed="64"/>
      </patternFill>
    </fill>
    <fill>
      <patternFill patternType="solid">
        <fgColor rgb="FF0A8078"/>
        <bgColor indexed="64"/>
      </patternFill>
    </fill>
    <fill>
      <patternFill patternType="solid">
        <fgColor rgb="FFE8F3E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8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6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7" borderId="4" applyNumberFormat="0" applyAlignment="0" applyProtection="0">
      <alignment vertical="center"/>
    </xf>
    <xf numFmtId="0" fontId="18" fillId="8" borderId="5" applyNumberFormat="0" applyAlignment="0" applyProtection="0">
      <alignment vertical="center"/>
    </xf>
    <xf numFmtId="0" fontId="19" fillId="8" borderId="4" applyNumberFormat="0" applyAlignment="0" applyProtection="0">
      <alignment vertical="center"/>
    </xf>
    <xf numFmtId="0" fontId="20" fillId="9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0" fillId="0" borderId="0"/>
  </cellStyleXfs>
  <cellXfs count="39">
    <xf numFmtId="0" fontId="0" fillId="0" borderId="0" xfId="49"/>
    <xf numFmtId="0" fontId="0" fillId="0" borderId="0" xfId="49" applyAlignment="1">
      <alignment horizontal="center"/>
    </xf>
    <xf numFmtId="0" fontId="1" fillId="2" borderId="0" xfId="49" applyNumberFormat="1" applyFont="1" applyFill="1" applyBorder="1" applyAlignment="1">
      <alignment vertical="center" wrapText="1"/>
    </xf>
    <xf numFmtId="0" fontId="2" fillId="3" borderId="0" xfId="49" applyNumberFormat="1" applyFont="1" applyFill="1" applyBorder="1" applyAlignment="1">
      <alignment vertical="center" wrapText="1"/>
    </xf>
    <xf numFmtId="0" fontId="3" fillId="0" borderId="0" xfId="49" applyNumberFormat="1" applyFont="1" applyFill="1" applyBorder="1" applyAlignment="1">
      <alignment vertical="center"/>
    </xf>
    <xf numFmtId="0" fontId="4" fillId="4" borderId="0" xfId="49" applyNumberFormat="1" applyFont="1" applyFill="1" applyBorder="1" applyAlignment="1">
      <alignment vertical="center" wrapText="1"/>
    </xf>
    <xf numFmtId="0" fontId="3" fillId="0" borderId="0" xfId="49" applyNumberFormat="1" applyFont="1" applyFill="1" applyBorder="1" applyAlignment="1">
      <alignment vertical="center" wrapText="1"/>
    </xf>
    <xf numFmtId="176" fontId="3" fillId="0" borderId="0" xfId="49" applyNumberFormat="1" applyFont="1" applyFill="1" applyBorder="1" applyAlignment="1">
      <alignment vertical="center"/>
    </xf>
    <xf numFmtId="3" fontId="3" fillId="0" borderId="0" xfId="49" applyNumberFormat="1" applyFont="1" applyFill="1" applyBorder="1" applyAlignment="1">
      <alignment vertical="center"/>
    </xf>
    <xf numFmtId="0" fontId="3" fillId="5" borderId="0" xfId="49" applyNumberFormat="1" applyFont="1" applyFill="1" applyBorder="1" applyAlignment="1">
      <alignment vertical="center"/>
    </xf>
    <xf numFmtId="3" fontId="3" fillId="5" borderId="0" xfId="49" applyNumberFormat="1" applyFont="1" applyFill="1" applyBorder="1" applyAlignment="1">
      <alignment vertical="center"/>
    </xf>
    <xf numFmtId="0" fontId="4" fillId="4" borderId="0" xfId="49" applyNumberFormat="1" applyFont="1" applyFill="1" applyBorder="1" applyAlignment="1">
      <alignment horizontal="center" vertical="center" wrapText="1"/>
    </xf>
    <xf numFmtId="0" fontId="3" fillId="0" borderId="0" xfId="49" applyNumberFormat="1" applyFont="1" applyFill="1" applyBorder="1" applyAlignment="1">
      <alignment horizontal="center" vertical="center"/>
    </xf>
    <xf numFmtId="3" fontId="3" fillId="0" borderId="0" xfId="49" applyNumberFormat="1" applyFont="1" applyFill="1" applyBorder="1" applyAlignment="1">
      <alignment horizontal="center" vertical="center"/>
    </xf>
    <xf numFmtId="177" fontId="3" fillId="0" borderId="0" xfId="49" applyNumberFormat="1" applyFont="1" applyFill="1" applyBorder="1" applyAlignment="1">
      <alignment vertical="center"/>
    </xf>
    <xf numFmtId="178" fontId="3" fillId="0" borderId="0" xfId="49" applyNumberFormat="1" applyFont="1" applyFill="1" applyBorder="1" applyAlignment="1">
      <alignment vertical="center"/>
    </xf>
    <xf numFmtId="0" fontId="1" fillId="2" borderId="0" xfId="49" applyNumberFormat="1" applyFont="1" applyFill="1" applyBorder="1" applyAlignment="1">
      <alignment horizontal="center" vertical="center" wrapText="1"/>
    </xf>
    <xf numFmtId="0" fontId="2" fillId="3" borderId="0" xfId="49" applyNumberFormat="1" applyFont="1" applyFill="1" applyBorder="1" applyAlignment="1">
      <alignment horizontal="center" vertical="center" wrapText="1"/>
    </xf>
    <xf numFmtId="3" fontId="3" fillId="5" borderId="0" xfId="49" applyNumberFormat="1" applyFont="1" applyFill="1" applyBorder="1" applyAlignment="1">
      <alignment horizontal="center" vertical="center"/>
    </xf>
    <xf numFmtId="177" fontId="3" fillId="5" borderId="0" xfId="49" applyNumberFormat="1" applyFont="1" applyFill="1" applyBorder="1" applyAlignment="1">
      <alignment vertical="center"/>
    </xf>
    <xf numFmtId="177" fontId="3" fillId="0" borderId="0" xfId="49" applyNumberFormat="1" applyFont="1" applyFill="1" applyBorder="1" applyAlignment="1">
      <alignment horizontal="center" vertical="center"/>
    </xf>
    <xf numFmtId="178" fontId="3" fillId="0" borderId="0" xfId="49" applyNumberFormat="1" applyFont="1" applyFill="1" applyBorder="1" applyAlignment="1">
      <alignment horizontal="center" vertical="center"/>
    </xf>
    <xf numFmtId="178" fontId="3" fillId="5" borderId="0" xfId="49" applyNumberFormat="1" applyFont="1" applyFill="1" applyBorder="1" applyAlignment="1">
      <alignment horizontal="center" vertical="center"/>
    </xf>
    <xf numFmtId="177" fontId="3" fillId="5" borderId="0" xfId="49" applyNumberFormat="1" applyFont="1" applyFill="1" applyBorder="1" applyAlignment="1">
      <alignment horizontal="center" vertical="center"/>
    </xf>
    <xf numFmtId="0" fontId="3" fillId="5" borderId="0" xfId="49" applyNumberFormat="1" applyFont="1" applyFill="1" applyBorder="1" applyAlignment="1">
      <alignment horizontal="center" vertical="center"/>
    </xf>
    <xf numFmtId="3" fontId="5" fillId="0" borderId="0" xfId="49" applyNumberFormat="1" applyFont="1" applyFill="1" applyBorder="1" applyAlignment="1">
      <alignment horizontal="center" vertical="center"/>
    </xf>
    <xf numFmtId="178" fontId="5" fillId="0" borderId="0" xfId="49" applyNumberFormat="1" applyFont="1" applyFill="1" applyBorder="1" applyAlignment="1">
      <alignment horizontal="center" vertical="center"/>
    </xf>
    <xf numFmtId="177" fontId="5" fillId="0" borderId="0" xfId="49" applyNumberFormat="1" applyFont="1" applyFill="1" applyBorder="1" applyAlignment="1">
      <alignment horizontal="center" vertical="center"/>
    </xf>
    <xf numFmtId="0" fontId="1" fillId="4" borderId="0" xfId="49" applyNumberFormat="1" applyFont="1" applyFill="1" applyBorder="1" applyAlignment="1">
      <alignment vertical="center" wrapText="1"/>
    </xf>
    <xf numFmtId="0" fontId="3" fillId="0" borderId="0" xfId="49" applyNumberFormat="1" applyFont="1" applyFill="1" applyBorder="1" applyAlignment="1">
      <alignment horizontal="center" vertical="center" wrapText="1"/>
    </xf>
    <xf numFmtId="176" fontId="3" fillId="0" borderId="0" xfId="49" applyNumberFormat="1" applyFont="1" applyFill="1" applyBorder="1" applyAlignment="1">
      <alignment horizontal="center" vertical="center"/>
    </xf>
    <xf numFmtId="176" fontId="5" fillId="0" borderId="0" xfId="49" applyNumberFormat="1" applyFont="1" applyFill="1" applyBorder="1" applyAlignment="1">
      <alignment vertical="center"/>
    </xf>
    <xf numFmtId="3" fontId="5" fillId="0" borderId="0" xfId="49" applyNumberFormat="1" applyFont="1" applyFill="1" applyBorder="1" applyAlignment="1">
      <alignment vertical="center"/>
    </xf>
    <xf numFmtId="178" fontId="5" fillId="0" borderId="0" xfId="49" applyNumberFormat="1" applyFont="1" applyFill="1" applyBorder="1" applyAlignment="1">
      <alignment vertical="center"/>
    </xf>
    <xf numFmtId="177" fontId="5" fillId="0" borderId="0" xfId="49" applyNumberFormat="1" applyFont="1" applyFill="1" applyBorder="1" applyAlignment="1">
      <alignment vertical="center"/>
    </xf>
    <xf numFmtId="9" fontId="3" fillId="0" borderId="0" xfId="49" applyNumberFormat="1" applyFont="1" applyFill="1" applyBorder="1" applyAlignment="1">
      <alignment vertical="center"/>
    </xf>
    <xf numFmtId="10" fontId="3" fillId="0" borderId="0" xfId="49" applyNumberFormat="1" applyFont="1" applyFill="1" applyBorder="1" applyAlignment="1">
      <alignment vertical="center"/>
    </xf>
    <xf numFmtId="0" fontId="6" fillId="2" borderId="0" xfId="49" applyNumberFormat="1" applyFont="1" applyFill="1" applyBorder="1" applyAlignment="1">
      <alignment vertical="center" wrapText="1"/>
    </xf>
    <xf numFmtId="3" fontId="7" fillId="5" borderId="0" xfId="49" applyNumberFormat="1" applyFont="1" applyFill="1" applyBorder="1" applyAlignme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975"/>
              <a:t>咖啡系列｜每千次观看涨粉</a:t>
            </a:r>
            <a:endParaRPr sz="975"/>
          </a:p>
        </c:rich>
      </c:tx>
      <c:layout/>
      <c:overlay val="0"/>
    </c:title>
    <c:autoTitleDeleted val="0"/>
    <c:plotArea>
      <c:layout/>
      <c:barChart>
        <c:barDir val="col"/>
        <c:grouping val="none"/>
        <c:varyColors val="0"/>
        <c:ser>
          <c:idx val="0"/>
          <c:order val="0"/>
          <c:tx>
            <c:strRef>
              <c:f>"每千次观看涨粉"</c:f>
              <c:strCache>
                <c:ptCount val="1"/>
                <c:pt idx="0">
                  <c:v>每千次观看涨粉</c:v>
                </c:pt>
              </c:strCache>
            </c:strRef>
          </c:tx>
          <c:spPr>
            <a:solidFill>
              <a:srgbClr val="0A8078"/>
            </a:solidFill>
          </c:spPr>
          <c:invertIfNegative val="0"/>
          <c:dLbls>
            <c:delete val="1"/>
          </c:dLbls>
          <c:cat>
            <c:strRef>
              <c:f>比较分析!$A$60:$A$63</c:f>
              <c:strCache>
                <c:ptCount val="4"/>
                <c:pt idx="0">
                  <c:v>咖啡成本</c:v>
                </c:pt>
                <c:pt idx="1">
                  <c:v>瑞幸／库迪</c:v>
                </c:pt>
                <c:pt idx="2">
                  <c:v>星巴克</c:v>
                </c:pt>
                <c:pt idx="3">
                  <c:v>Manner／M Stand</c:v>
                </c:pt>
              </c:strCache>
            </c:strRef>
          </c:cat>
          <c:val>
            <c:numRef>
              <c:f>比较分析!$B$60:$B$63</c:f>
              <c:numCache>
                <c:formatCode>0.0</c:formatCode>
                <c:ptCount val="4"/>
                <c:pt idx="0">
                  <c:v>15.819209039548</c:v>
                </c:pt>
                <c:pt idx="1">
                  <c:v>10.8342361863489</c:v>
                </c:pt>
                <c:pt idx="2">
                  <c:v>6.3391442155309</c:v>
                </c:pt>
                <c:pt idx="3">
                  <c:v>3.36351875808538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825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0.0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8650112"/>
        <c:crosses val="autoZero"/>
        <c:crossBetween val="between"/>
      </c:valAx>
    </c:plotArea>
    <c:plotVisOnly val="1"/>
    <c:dispBlanksAs val="gap"/>
    <c:showDLblsOverMax val="0"/>
  </c:chart>
  <c:spPr>
    <a:ln w="9525">
      <a:solidFill>
        <a:srgbClr val="D9D9D9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36</xdr:row>
      <xdr:rowOff>0</xdr:rowOff>
    </xdr:from>
    <xdr:to>
      <xdr:col>9</xdr:col>
      <xdr:colOff>0</xdr:colOff>
      <xdr:row>51</xdr:row>
      <xdr:rowOff>0</xdr:rowOff>
    </xdr:to>
    <xdr:graphicFrame>
      <xdr:nvGraphicFramePr>
        <xdr:cNvPr id="2" name="Chart"/>
        <xdr:cNvGraphicFramePr/>
      </xdr:nvGraphicFramePr>
      <xdr:xfrm>
        <a:off x="0" y="12280900"/>
        <a:ext cx="12694920" cy="47625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NoteSource" displayName="NoteSource" ref="A5:P19" totalsRowShown="0">
  <tableColumns count="16">
    <tableColumn id="1" name="序号"/>
    <tableColumn id="2" name="标题"/>
    <tableColumn id="3" name="发布日期"/>
    <tableColumn id="4" name="发布时间原文"/>
    <tableColumn id="5" name="曝光"/>
    <tableColumn id="6" name="观看"/>
    <tableColumn id="7" name="封面点击率"/>
    <tableColumn id="8" name="点赞"/>
    <tableColumn id="9" name="评论"/>
    <tableColumn id="10" name="收藏"/>
    <tableColumn id="11" name="涨粉"/>
    <tableColumn id="12" name="分享"/>
    <tableColumn id="13" name="人均观看秒"/>
    <tableColumn id="14" name="弹幕"/>
    <tableColumn id="15" name="采集日期"/>
    <tableColumn id="16" name="来源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5"/>
  <sheetViews>
    <sheetView showGridLines="0" workbookViewId="0">
      <selection activeCell="A32" sqref="A32:I34"/>
    </sheetView>
  </sheetViews>
  <sheetFormatPr defaultColWidth="9" defaultRowHeight="16.8"/>
  <cols>
    <col min="1" max="1" width="25" customWidth="1"/>
    <col min="2" max="2" width="12" customWidth="1"/>
    <col min="3" max="3" width="11" customWidth="1"/>
    <col min="4" max="4" width="20" customWidth="1"/>
    <col min="5" max="5" width="17" customWidth="1"/>
    <col min="6" max="6" width="13" customWidth="1"/>
    <col min="7" max="7" width="16" customWidth="1"/>
    <col min="8" max="8" width="18" customWidth="1"/>
    <col min="9" max="9" width="15" customWidth="1"/>
  </cols>
  <sheetData>
    <row r="1" ht="25" customHeight="1" spans="1:9">
      <c r="A1" s="37" t="s">
        <v>0</v>
      </c>
      <c r="B1" s="37" t="s">
        <v>0</v>
      </c>
      <c r="C1" s="37" t="s">
        <v>0</v>
      </c>
      <c r="D1" s="37" t="s">
        <v>0</v>
      </c>
      <c r="E1" s="37" t="s">
        <v>0</v>
      </c>
      <c r="F1" s="37" t="s">
        <v>0</v>
      </c>
      <c r="G1" s="37" t="s">
        <v>0</v>
      </c>
      <c r="H1" s="37" t="s">
        <v>0</v>
      </c>
      <c r="I1" s="37" t="s">
        <v>0</v>
      </c>
    </row>
    <row r="2" ht="25" customHeight="1" spans="1:9">
      <c r="A2" s="37" t="s">
        <v>0</v>
      </c>
      <c r="B2" s="37" t="s">
        <v>0</v>
      </c>
      <c r="C2" s="37" t="s">
        <v>0</v>
      </c>
      <c r="D2" s="37" t="s">
        <v>0</v>
      </c>
      <c r="E2" s="37" t="s">
        <v>0</v>
      </c>
      <c r="F2" s="37" t="s">
        <v>0</v>
      </c>
      <c r="G2" s="37" t="s">
        <v>0</v>
      </c>
      <c r="H2" s="37" t="s">
        <v>0</v>
      </c>
      <c r="I2" s="37" t="s">
        <v>0</v>
      </c>
    </row>
    <row r="3" ht="25" customHeight="1" spans="1:9">
      <c r="A3" s="3" t="s">
        <v>1</v>
      </c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</row>
    <row r="4" ht="25" customHeight="1" spans="1:9">
      <c r="A4" s="3" t="s">
        <v>1</v>
      </c>
      <c r="B4" s="3" t="s">
        <v>1</v>
      </c>
      <c r="C4" s="3" t="s">
        <v>1</v>
      </c>
      <c r="D4" s="3" t="s">
        <v>1</v>
      </c>
      <c r="E4" s="3" t="s">
        <v>1</v>
      </c>
      <c r="F4" s="3" t="s">
        <v>1</v>
      </c>
      <c r="G4" s="3" t="s">
        <v>1</v>
      </c>
      <c r="H4" s="3" t="s">
        <v>1</v>
      </c>
      <c r="I4" s="3" t="s">
        <v>1</v>
      </c>
    </row>
    <row r="5" ht="25" customHeight="1" spans="1:9">
      <c r="A5" s="4"/>
      <c r="B5" s="4"/>
      <c r="C5" s="4"/>
      <c r="D5" s="4"/>
      <c r="E5" s="4"/>
      <c r="F5" s="4"/>
      <c r="G5" s="4"/>
      <c r="H5" s="4"/>
      <c r="I5" s="4"/>
    </row>
    <row r="6" ht="25" customHeight="1" spans="1:9">
      <c r="A6" s="28" t="s">
        <v>2</v>
      </c>
      <c r="B6" s="28" t="s">
        <v>2</v>
      </c>
      <c r="C6" s="28" t="s">
        <v>2</v>
      </c>
      <c r="D6" s="28" t="s">
        <v>3</v>
      </c>
      <c r="E6" s="28" t="s">
        <v>3</v>
      </c>
      <c r="F6" s="28" t="s">
        <v>3</v>
      </c>
      <c r="G6" s="28" t="s">
        <v>4</v>
      </c>
      <c r="H6" s="28" t="s">
        <v>4</v>
      </c>
      <c r="I6" s="28" t="s">
        <v>4</v>
      </c>
    </row>
    <row r="7" ht="25" customHeight="1" spans="1:9">
      <c r="A7" s="38">
        <f>比较分析!B47</f>
        <v>121</v>
      </c>
      <c r="B7" s="38"/>
      <c r="C7" s="38"/>
      <c r="D7" s="38">
        <f>比较分析!B48</f>
        <v>13000</v>
      </c>
      <c r="E7" s="38"/>
      <c r="F7" s="38"/>
      <c r="G7" s="38">
        <f>比较分析!B49</f>
        <v>74</v>
      </c>
      <c r="H7" s="38"/>
      <c r="I7" s="38"/>
    </row>
    <row r="8" ht="25" customHeight="1" spans="1:9">
      <c r="A8" s="38"/>
      <c r="B8" s="38"/>
      <c r="C8" s="38"/>
      <c r="D8" s="38"/>
      <c r="E8" s="38"/>
      <c r="F8" s="38"/>
      <c r="G8" s="38"/>
      <c r="H8" s="38"/>
      <c r="I8" s="38"/>
    </row>
    <row r="9" ht="25" customHeight="1" spans="1:9">
      <c r="A9" s="3" t="s">
        <v>5</v>
      </c>
      <c r="B9" s="3" t="s">
        <v>5</v>
      </c>
      <c r="C9" s="3" t="s">
        <v>5</v>
      </c>
      <c r="D9" s="3" t="s">
        <v>5</v>
      </c>
      <c r="E9" s="3" t="s">
        <v>5</v>
      </c>
      <c r="F9" s="3" t="s">
        <v>5</v>
      </c>
      <c r="G9" s="3" t="s">
        <v>5</v>
      </c>
      <c r="H9" s="3" t="s">
        <v>5</v>
      </c>
      <c r="I9" s="3" t="s">
        <v>5</v>
      </c>
    </row>
    <row r="10" ht="25" customHeight="1" spans="1:9">
      <c r="A10" s="4"/>
      <c r="B10" s="4"/>
      <c r="C10" s="4"/>
      <c r="D10" s="4"/>
      <c r="E10" s="4"/>
      <c r="F10" s="4"/>
      <c r="G10" s="4"/>
      <c r="H10" s="4"/>
      <c r="I10" s="4"/>
    </row>
    <row r="11" ht="25" customHeight="1" spans="1:9">
      <c r="A11" s="2" t="s">
        <v>6</v>
      </c>
      <c r="B11" s="2" t="s">
        <v>6</v>
      </c>
      <c r="C11" s="2" t="s">
        <v>6</v>
      </c>
      <c r="D11" s="2" t="s">
        <v>6</v>
      </c>
      <c r="E11" s="2" t="s">
        <v>6</v>
      </c>
      <c r="F11" s="2" t="s">
        <v>6</v>
      </c>
      <c r="G11" s="2" t="s">
        <v>6</v>
      </c>
      <c r="H11" s="2" t="s">
        <v>6</v>
      </c>
      <c r="I11" s="2" t="s">
        <v>6</v>
      </c>
    </row>
    <row r="12" ht="42" customHeight="1" spans="1:9">
      <c r="A12" s="5" t="s">
        <v>7</v>
      </c>
      <c r="B12" s="5" t="s">
        <v>8</v>
      </c>
      <c r="C12" s="5" t="s">
        <v>9</v>
      </c>
      <c r="D12" s="5" t="s">
        <v>10</v>
      </c>
      <c r="E12" s="5" t="s">
        <v>11</v>
      </c>
      <c r="F12" s="5" t="s">
        <v>12</v>
      </c>
      <c r="G12" s="5" t="s">
        <v>13</v>
      </c>
      <c r="H12" s="5" t="s">
        <v>14</v>
      </c>
      <c r="I12" s="5" t="s">
        <v>15</v>
      </c>
    </row>
    <row r="13" ht="35" customHeight="1" spans="1:9">
      <c r="A13" s="4" t="str">
        <f>比较分析!A38</f>
        <v>Manner／M Stand</v>
      </c>
      <c r="B13" s="8">
        <f>比较分析!B38</f>
        <v>11595</v>
      </c>
      <c r="C13" s="8">
        <f>比较分析!C38</f>
        <v>39</v>
      </c>
      <c r="D13" s="19">
        <f>比较分析!D38</f>
        <v>3.36351875808538</v>
      </c>
      <c r="E13" s="14">
        <f>比较分析!E38</f>
        <v>52.1</v>
      </c>
      <c r="F13" s="15">
        <f>比较分析!F38</f>
        <v>0.083</v>
      </c>
      <c r="G13" s="15">
        <f>比较分析!G38</f>
        <v>0.225</v>
      </c>
      <c r="H13" s="15">
        <f>比较分析!H38</f>
        <v>0.089</v>
      </c>
      <c r="I13" s="15">
        <f>比较分析!I38</f>
        <v>0.127</v>
      </c>
    </row>
    <row r="14" ht="35" customHeight="1" spans="1:9">
      <c r="A14" s="4" t="str">
        <f>比较分析!A39</f>
        <v>瑞幸／库迪</v>
      </c>
      <c r="B14" s="8">
        <f>比较分析!B39</f>
        <v>923</v>
      </c>
      <c r="C14" s="8">
        <f>比较分析!C39</f>
        <v>10</v>
      </c>
      <c r="D14" s="19">
        <f>比较分析!D39</f>
        <v>10.8342361863489</v>
      </c>
      <c r="E14" s="14">
        <f>比较分析!E39</f>
        <v>91.5</v>
      </c>
      <c r="F14" s="15">
        <f>比较分析!F39</f>
        <v>0.091</v>
      </c>
      <c r="G14" s="15">
        <f>比较分析!G39</f>
        <v>0.287</v>
      </c>
      <c r="H14" s="15">
        <f>比较分析!H39</f>
        <v>0.107</v>
      </c>
      <c r="I14" s="15">
        <f>比较分析!I39</f>
        <v>0.095</v>
      </c>
    </row>
    <row r="15" ht="35" customHeight="1" spans="1:9">
      <c r="A15" s="4" t="str">
        <f>比较分析!A40</f>
        <v>咖啡成本</v>
      </c>
      <c r="B15" s="8">
        <f>比较分析!B40</f>
        <v>885</v>
      </c>
      <c r="C15" s="8">
        <f>比较分析!C40</f>
        <v>14</v>
      </c>
      <c r="D15" s="19">
        <f>比较分析!D40</f>
        <v>15.819209039548</v>
      </c>
      <c r="E15" s="14">
        <f>比较分析!E40</f>
        <v>46.5</v>
      </c>
      <c r="F15" s="15">
        <f>比较分析!F40</f>
        <v>0.063</v>
      </c>
      <c r="G15" s="15">
        <f>比较分析!G40</f>
        <v>0.252</v>
      </c>
      <c r="H15" s="15">
        <f>比较分析!H40</f>
        <v>0.068</v>
      </c>
      <c r="I15" s="15">
        <f>比较分析!I40</f>
        <v>0.082</v>
      </c>
    </row>
    <row r="16" ht="35" customHeight="1" spans="1:9">
      <c r="A16" s="4" t="str">
        <f>比较分析!A42</f>
        <v>星巴克</v>
      </c>
      <c r="B16" s="8">
        <f>比较分析!B42</f>
        <v>631</v>
      </c>
      <c r="C16" s="8">
        <f>比较分析!C42</f>
        <v>4</v>
      </c>
      <c r="D16" s="19">
        <f>比较分析!D42</f>
        <v>6.3391442155309</v>
      </c>
      <c r="E16" s="14">
        <f>比较分析!E42</f>
        <v>44.9</v>
      </c>
      <c r="F16" s="15">
        <f>比较分析!F42</f>
        <v>0.043</v>
      </c>
      <c r="G16" s="15">
        <f>比较分析!G42</f>
        <v>0.224</v>
      </c>
      <c r="H16" s="15">
        <f>比较分析!H42</f>
        <v>0.111</v>
      </c>
      <c r="I16" s="15">
        <f>比较分析!I42</f>
        <v>0.1</v>
      </c>
    </row>
    <row r="17" ht="35" customHeight="1" spans="1:9">
      <c r="A17" s="4" t="str">
        <f>比较分析!A41</f>
        <v>母婴总览</v>
      </c>
      <c r="B17" s="8">
        <f>比较分析!B41</f>
        <v>297</v>
      </c>
      <c r="C17" s="8">
        <f>比较分析!C41</f>
        <v>1</v>
      </c>
      <c r="D17" s="19">
        <f>比较分析!D41</f>
        <v>3.36700336700337</v>
      </c>
      <c r="E17" s="14">
        <f>比较分析!E41</f>
        <v>23.2</v>
      </c>
      <c r="F17" s="15">
        <f>比较分析!F41</f>
        <v>0.042</v>
      </c>
      <c r="G17" s="15">
        <f>比较分析!G41</f>
        <v>0.379</v>
      </c>
      <c r="H17" s="15">
        <f>比较分析!H41</f>
        <v>0.066</v>
      </c>
      <c r="I17" s="15">
        <f>比较分析!I41</f>
        <v>0.082</v>
      </c>
    </row>
    <row r="18" ht="25" customHeight="1" spans="1:9">
      <c r="A18" s="4"/>
      <c r="B18" s="4"/>
      <c r="C18" s="4"/>
      <c r="D18" s="4"/>
      <c r="E18" s="4"/>
      <c r="F18" s="4"/>
      <c r="G18" s="4"/>
      <c r="H18" s="4"/>
      <c r="I18" s="4"/>
    </row>
    <row r="19" ht="25" customHeight="1" spans="1:9">
      <c r="A19" s="2" t="s">
        <v>16</v>
      </c>
      <c r="B19" s="2" t="s">
        <v>16</v>
      </c>
      <c r="C19" s="2" t="s">
        <v>16</v>
      </c>
      <c r="D19" s="2" t="s">
        <v>16</v>
      </c>
      <c r="E19" s="2" t="s">
        <v>16</v>
      </c>
      <c r="F19" s="2" t="s">
        <v>16</v>
      </c>
      <c r="G19" s="2" t="s">
        <v>16</v>
      </c>
      <c r="H19" s="2" t="s">
        <v>16</v>
      </c>
      <c r="I19" s="2" t="s">
        <v>16</v>
      </c>
    </row>
    <row r="20" ht="25" customHeight="1" spans="1:9">
      <c r="A20" s="3" t="s">
        <v>17</v>
      </c>
      <c r="B20" s="3" t="s">
        <v>17</v>
      </c>
      <c r="C20" s="3" t="s">
        <v>17</v>
      </c>
      <c r="D20" s="3" t="s">
        <v>17</v>
      </c>
      <c r="E20" s="3" t="s">
        <v>17</v>
      </c>
      <c r="F20" s="3" t="s">
        <v>17</v>
      </c>
      <c r="G20" s="3" t="s">
        <v>17</v>
      </c>
      <c r="H20" s="3" t="s">
        <v>17</v>
      </c>
      <c r="I20" s="3" t="s">
        <v>17</v>
      </c>
    </row>
    <row r="21" ht="25" customHeight="1" spans="1:9">
      <c r="A21" s="3" t="s">
        <v>17</v>
      </c>
      <c r="B21" s="3" t="s">
        <v>17</v>
      </c>
      <c r="C21" s="3" t="s">
        <v>17</v>
      </c>
      <c r="D21" s="3" t="s">
        <v>17</v>
      </c>
      <c r="E21" s="3" t="s">
        <v>17</v>
      </c>
      <c r="F21" s="3" t="s">
        <v>17</v>
      </c>
      <c r="G21" s="3" t="s">
        <v>17</v>
      </c>
      <c r="H21" s="3" t="s">
        <v>17</v>
      </c>
      <c r="I21" s="3" t="s">
        <v>17</v>
      </c>
    </row>
    <row r="22" ht="25" customHeight="1" spans="1:9">
      <c r="A22" s="3" t="s">
        <v>17</v>
      </c>
      <c r="B22" s="3" t="s">
        <v>17</v>
      </c>
      <c r="C22" s="3" t="s">
        <v>17</v>
      </c>
      <c r="D22" s="3" t="s">
        <v>17</v>
      </c>
      <c r="E22" s="3" t="s">
        <v>17</v>
      </c>
      <c r="F22" s="3" t="s">
        <v>17</v>
      </c>
      <c r="G22" s="3" t="s">
        <v>17</v>
      </c>
      <c r="H22" s="3" t="s">
        <v>17</v>
      </c>
      <c r="I22" s="3" t="s">
        <v>17</v>
      </c>
    </row>
    <row r="23" ht="25" customHeight="1" spans="1:9">
      <c r="A23" s="4"/>
      <c r="B23" s="4"/>
      <c r="C23" s="4"/>
      <c r="D23" s="4"/>
      <c r="E23" s="4"/>
      <c r="F23" s="4"/>
      <c r="G23" s="4"/>
      <c r="H23" s="4"/>
      <c r="I23" s="4"/>
    </row>
    <row r="24" ht="25" customHeight="1" spans="1:9">
      <c r="A24" s="3" t="s">
        <v>18</v>
      </c>
      <c r="B24" s="3" t="s">
        <v>18</v>
      </c>
      <c r="C24" s="3" t="s">
        <v>18</v>
      </c>
      <c r="D24" s="3" t="s">
        <v>18</v>
      </c>
      <c r="E24" s="3" t="s">
        <v>18</v>
      </c>
      <c r="F24" s="3" t="s">
        <v>18</v>
      </c>
      <c r="G24" s="3" t="s">
        <v>18</v>
      </c>
      <c r="H24" s="3" t="s">
        <v>18</v>
      </c>
      <c r="I24" s="3" t="s">
        <v>18</v>
      </c>
    </row>
    <row r="25" ht="25" customHeight="1" spans="1:9">
      <c r="A25" s="3" t="s">
        <v>18</v>
      </c>
      <c r="B25" s="3" t="s">
        <v>18</v>
      </c>
      <c r="C25" s="3" t="s">
        <v>18</v>
      </c>
      <c r="D25" s="3" t="s">
        <v>18</v>
      </c>
      <c r="E25" s="3" t="s">
        <v>18</v>
      </c>
      <c r="F25" s="3" t="s">
        <v>18</v>
      </c>
      <c r="G25" s="3" t="s">
        <v>18</v>
      </c>
      <c r="H25" s="3" t="s">
        <v>18</v>
      </c>
      <c r="I25" s="3" t="s">
        <v>18</v>
      </c>
    </row>
    <row r="26" ht="25" customHeight="1" spans="1:9">
      <c r="A26" s="3" t="s">
        <v>18</v>
      </c>
      <c r="B26" s="3" t="s">
        <v>18</v>
      </c>
      <c r="C26" s="3" t="s">
        <v>18</v>
      </c>
      <c r="D26" s="3" t="s">
        <v>18</v>
      </c>
      <c r="E26" s="3" t="s">
        <v>18</v>
      </c>
      <c r="F26" s="3" t="s">
        <v>18</v>
      </c>
      <c r="G26" s="3" t="s">
        <v>18</v>
      </c>
      <c r="H26" s="3" t="s">
        <v>18</v>
      </c>
      <c r="I26" s="3" t="s">
        <v>18</v>
      </c>
    </row>
    <row r="27" ht="25" customHeight="1" spans="1:9">
      <c r="A27" s="4"/>
      <c r="B27" s="4"/>
      <c r="C27" s="4"/>
      <c r="D27" s="4"/>
      <c r="E27" s="4"/>
      <c r="F27" s="4"/>
      <c r="G27" s="4"/>
      <c r="H27" s="4"/>
      <c r="I27" s="4"/>
    </row>
    <row r="28" ht="25" customHeight="1" spans="1:9">
      <c r="A28" s="3" t="s">
        <v>19</v>
      </c>
      <c r="B28" s="3" t="s">
        <v>19</v>
      </c>
      <c r="C28" s="3" t="s">
        <v>19</v>
      </c>
      <c r="D28" s="3" t="s">
        <v>19</v>
      </c>
      <c r="E28" s="3" t="s">
        <v>19</v>
      </c>
      <c r="F28" s="3" t="s">
        <v>19</v>
      </c>
      <c r="G28" s="3" t="s">
        <v>19</v>
      </c>
      <c r="H28" s="3" t="s">
        <v>19</v>
      </c>
      <c r="I28" s="3" t="s">
        <v>19</v>
      </c>
    </row>
    <row r="29" ht="25" customHeight="1" spans="1:9">
      <c r="A29" s="3" t="s">
        <v>19</v>
      </c>
      <c r="B29" s="3" t="s">
        <v>19</v>
      </c>
      <c r="C29" s="3" t="s">
        <v>19</v>
      </c>
      <c r="D29" s="3" t="s">
        <v>19</v>
      </c>
      <c r="E29" s="3" t="s">
        <v>19</v>
      </c>
      <c r="F29" s="3" t="s">
        <v>19</v>
      </c>
      <c r="G29" s="3" t="s">
        <v>19</v>
      </c>
      <c r="H29" s="3" t="s">
        <v>19</v>
      </c>
      <c r="I29" s="3" t="s">
        <v>19</v>
      </c>
    </row>
    <row r="30" ht="25" customHeight="1" spans="1:9">
      <c r="A30" s="3" t="s">
        <v>19</v>
      </c>
      <c r="B30" s="3" t="s">
        <v>19</v>
      </c>
      <c r="C30" s="3" t="s">
        <v>19</v>
      </c>
      <c r="D30" s="3" t="s">
        <v>19</v>
      </c>
      <c r="E30" s="3" t="s">
        <v>19</v>
      </c>
      <c r="F30" s="3" t="s">
        <v>19</v>
      </c>
      <c r="G30" s="3" t="s">
        <v>19</v>
      </c>
      <c r="H30" s="3" t="s">
        <v>19</v>
      </c>
      <c r="I30" s="3" t="s">
        <v>19</v>
      </c>
    </row>
    <row r="31" ht="25" customHeight="1" spans="1:9">
      <c r="A31" s="4"/>
      <c r="B31" s="4"/>
      <c r="C31" s="4"/>
      <c r="D31" s="4"/>
      <c r="E31" s="4"/>
      <c r="F31" s="4"/>
      <c r="G31" s="4"/>
      <c r="H31" s="4"/>
      <c r="I31" s="4"/>
    </row>
    <row r="32" ht="25" customHeight="1" spans="1:9">
      <c r="A32" s="3" t="s">
        <v>20</v>
      </c>
      <c r="B32" s="3" t="s">
        <v>20</v>
      </c>
      <c r="C32" s="3" t="s">
        <v>20</v>
      </c>
      <c r="D32" s="3" t="s">
        <v>20</v>
      </c>
      <c r="E32" s="3" t="s">
        <v>20</v>
      </c>
      <c r="F32" s="3" t="s">
        <v>20</v>
      </c>
      <c r="G32" s="3" t="s">
        <v>20</v>
      </c>
      <c r="H32" s="3" t="s">
        <v>20</v>
      </c>
      <c r="I32" s="3" t="s">
        <v>20</v>
      </c>
    </row>
    <row r="33" ht="25" customHeight="1" spans="1:9">
      <c r="A33" s="3" t="s">
        <v>20</v>
      </c>
      <c r="B33" s="3" t="s">
        <v>20</v>
      </c>
      <c r="C33" s="3" t="s">
        <v>20</v>
      </c>
      <c r="D33" s="3" t="s">
        <v>20</v>
      </c>
      <c r="E33" s="3" t="s">
        <v>20</v>
      </c>
      <c r="F33" s="3" t="s">
        <v>20</v>
      </c>
      <c r="G33" s="3" t="s">
        <v>20</v>
      </c>
      <c r="H33" s="3" t="s">
        <v>20</v>
      </c>
      <c r="I33" s="3" t="s">
        <v>20</v>
      </c>
    </row>
    <row r="34" ht="25" customHeight="1" spans="1:9">
      <c r="A34" s="3" t="s">
        <v>20</v>
      </c>
      <c r="B34" s="3" t="s">
        <v>20</v>
      </c>
      <c r="C34" s="3" t="s">
        <v>20</v>
      </c>
      <c r="D34" s="3" t="s">
        <v>20</v>
      </c>
      <c r="E34" s="3" t="s">
        <v>20</v>
      </c>
      <c r="F34" s="3" t="s">
        <v>20</v>
      </c>
      <c r="G34" s="3" t="s">
        <v>20</v>
      </c>
      <c r="H34" s="3" t="s">
        <v>20</v>
      </c>
      <c r="I34" s="3" t="s">
        <v>20</v>
      </c>
    </row>
    <row r="35" ht="25" customHeight="1" spans="1:9">
      <c r="A35" s="4"/>
      <c r="B35" s="4"/>
      <c r="C35" s="4"/>
      <c r="D35" s="4"/>
      <c r="E35" s="4"/>
      <c r="F35" s="4"/>
      <c r="G35" s="4"/>
      <c r="H35" s="4"/>
      <c r="I35" s="4"/>
    </row>
    <row r="36" ht="25" customHeight="1" spans="1:9">
      <c r="A36" s="4"/>
      <c r="B36" s="4"/>
      <c r="C36" s="4"/>
      <c r="D36" s="4"/>
      <c r="E36" s="4"/>
      <c r="F36" s="4"/>
      <c r="G36" s="4"/>
      <c r="H36" s="4"/>
      <c r="I36" s="4"/>
    </row>
    <row r="37" ht="25" customHeight="1" spans="1:9">
      <c r="A37" s="4"/>
      <c r="B37" s="4"/>
      <c r="C37" s="4"/>
      <c r="D37" s="4"/>
      <c r="E37" s="4"/>
      <c r="F37" s="4"/>
      <c r="G37" s="4"/>
      <c r="H37" s="4"/>
      <c r="I37" s="4"/>
    </row>
    <row r="38" ht="25" customHeight="1" spans="1:9">
      <c r="A38" s="4"/>
      <c r="B38" s="4"/>
      <c r="C38" s="4"/>
      <c r="D38" s="4"/>
      <c r="E38" s="4"/>
      <c r="F38" s="4"/>
      <c r="G38" s="4"/>
      <c r="H38" s="4"/>
      <c r="I38" s="4"/>
    </row>
    <row r="39" ht="25" customHeight="1" spans="1:9">
      <c r="A39" s="4"/>
      <c r="B39" s="4"/>
      <c r="C39" s="4"/>
      <c r="D39" s="4"/>
      <c r="E39" s="4"/>
      <c r="F39" s="4"/>
      <c r="G39" s="4"/>
      <c r="H39" s="4"/>
      <c r="I39" s="4"/>
    </row>
    <row r="40" ht="25" customHeight="1" spans="1:9">
      <c r="A40" s="4"/>
      <c r="B40" s="4"/>
      <c r="C40" s="4"/>
      <c r="D40" s="4"/>
      <c r="E40" s="4"/>
      <c r="F40" s="4"/>
      <c r="G40" s="4"/>
      <c r="H40" s="4"/>
      <c r="I40" s="4"/>
    </row>
    <row r="41" ht="25" customHeight="1" spans="1:9">
      <c r="A41" s="4"/>
      <c r="B41" s="4"/>
      <c r="C41" s="4"/>
      <c r="D41" s="4"/>
      <c r="E41" s="4"/>
      <c r="F41" s="4"/>
      <c r="G41" s="4"/>
      <c r="H41" s="4"/>
      <c r="I41" s="4"/>
    </row>
    <row r="42" ht="25" customHeight="1" spans="1:9">
      <c r="A42" s="4"/>
      <c r="B42" s="4"/>
      <c r="C42" s="4"/>
      <c r="D42" s="4"/>
      <c r="E42" s="4"/>
      <c r="F42" s="4"/>
      <c r="G42" s="4"/>
      <c r="H42" s="4"/>
      <c r="I42" s="4"/>
    </row>
    <row r="43" ht="25" customHeight="1" spans="1:9">
      <c r="A43" s="4"/>
      <c r="B43" s="4"/>
      <c r="C43" s="4"/>
      <c r="D43" s="4"/>
      <c r="E43" s="4"/>
      <c r="F43" s="4"/>
      <c r="G43" s="4"/>
      <c r="H43" s="4"/>
      <c r="I43" s="4"/>
    </row>
    <row r="44" ht="25" customHeight="1" spans="1:9">
      <c r="A44" s="4"/>
      <c r="B44" s="4"/>
      <c r="C44" s="4"/>
      <c r="D44" s="4"/>
      <c r="E44" s="4"/>
      <c r="F44" s="4"/>
      <c r="G44" s="4"/>
      <c r="H44" s="4"/>
      <c r="I44" s="4"/>
    </row>
    <row r="45" ht="25" customHeight="1" spans="1:9">
      <c r="A45" s="4"/>
      <c r="B45" s="4"/>
      <c r="C45" s="4"/>
      <c r="D45" s="4"/>
      <c r="E45" s="4"/>
      <c r="F45" s="4"/>
      <c r="G45" s="4"/>
      <c r="H45" s="4"/>
      <c r="I45" s="4"/>
    </row>
    <row r="46" ht="25" customHeight="1" spans="1:9">
      <c r="A46" s="4"/>
      <c r="B46" s="4"/>
      <c r="C46" s="4"/>
      <c r="D46" s="4"/>
      <c r="E46" s="4"/>
      <c r="F46" s="4"/>
      <c r="G46" s="4"/>
      <c r="H46" s="4"/>
      <c r="I46" s="4"/>
    </row>
    <row r="47" ht="25" customHeight="1" spans="1:9">
      <c r="A47" s="4"/>
      <c r="B47" s="4"/>
      <c r="C47" s="4"/>
      <c r="D47" s="4"/>
      <c r="E47" s="4"/>
      <c r="F47" s="4"/>
      <c r="G47" s="4"/>
      <c r="H47" s="4"/>
      <c r="I47" s="4"/>
    </row>
    <row r="48" ht="25" customHeight="1" spans="1:9">
      <c r="A48" s="4"/>
      <c r="B48" s="4"/>
      <c r="C48" s="4"/>
      <c r="D48" s="4"/>
      <c r="E48" s="4"/>
      <c r="F48" s="4"/>
      <c r="G48" s="4"/>
      <c r="H48" s="4"/>
      <c r="I48" s="4"/>
    </row>
    <row r="49" ht="25" customHeight="1" spans="1:9">
      <c r="A49" s="4"/>
      <c r="B49" s="4"/>
      <c r="C49" s="4"/>
      <c r="D49" s="4"/>
      <c r="E49" s="4"/>
      <c r="F49" s="4"/>
      <c r="G49" s="4"/>
      <c r="H49" s="4"/>
      <c r="I49" s="4"/>
    </row>
    <row r="50" ht="25" customHeight="1" spans="1:9">
      <c r="A50" s="4"/>
      <c r="B50" s="4"/>
      <c r="C50" s="4"/>
      <c r="D50" s="4"/>
      <c r="E50" s="4"/>
      <c r="F50" s="4"/>
      <c r="G50" s="4"/>
      <c r="H50" s="4"/>
      <c r="I50" s="4"/>
    </row>
    <row r="51" ht="25" customHeight="1" spans="1:9">
      <c r="A51" s="4"/>
      <c r="B51" s="4"/>
      <c r="C51" s="4"/>
      <c r="D51" s="4"/>
      <c r="E51" s="4"/>
      <c r="F51" s="4"/>
      <c r="G51" s="4"/>
      <c r="H51" s="4"/>
      <c r="I51" s="4"/>
    </row>
    <row r="52" ht="25" customHeight="1" spans="1:9">
      <c r="A52" s="4"/>
      <c r="B52" s="4"/>
      <c r="C52" s="4"/>
      <c r="D52" s="4"/>
      <c r="E52" s="4"/>
      <c r="F52" s="4"/>
      <c r="G52" s="4"/>
      <c r="H52" s="4"/>
      <c r="I52" s="4"/>
    </row>
    <row r="53" ht="25" customHeight="1" spans="1:9">
      <c r="A53" s="3" t="s">
        <v>21</v>
      </c>
      <c r="B53" s="3" t="s">
        <v>21</v>
      </c>
      <c r="C53" s="3" t="s">
        <v>21</v>
      </c>
      <c r="D53" s="3" t="s">
        <v>21</v>
      </c>
      <c r="E53" s="3" t="s">
        <v>21</v>
      </c>
      <c r="F53" s="3" t="s">
        <v>21</v>
      </c>
      <c r="G53" s="3" t="s">
        <v>21</v>
      </c>
      <c r="H53" s="3" t="s">
        <v>21</v>
      </c>
      <c r="I53" s="3" t="s">
        <v>21</v>
      </c>
    </row>
    <row r="54" ht="25" customHeight="1" spans="1:9">
      <c r="A54" s="3" t="s">
        <v>21</v>
      </c>
      <c r="B54" s="3" t="s">
        <v>21</v>
      </c>
      <c r="C54" s="3" t="s">
        <v>21</v>
      </c>
      <c r="D54" s="3" t="s">
        <v>21</v>
      </c>
      <c r="E54" s="3" t="s">
        <v>21</v>
      </c>
      <c r="F54" s="3" t="s">
        <v>21</v>
      </c>
      <c r="G54" s="3" t="s">
        <v>21</v>
      </c>
      <c r="H54" s="3" t="s">
        <v>21</v>
      </c>
      <c r="I54" s="3" t="s">
        <v>21</v>
      </c>
    </row>
    <row r="55" ht="25" customHeight="1" spans="1:9">
      <c r="A55" s="3" t="s">
        <v>21</v>
      </c>
      <c r="B55" s="3" t="s">
        <v>21</v>
      </c>
      <c r="C55" s="3" t="s">
        <v>21</v>
      </c>
      <c r="D55" s="3" t="s">
        <v>21</v>
      </c>
      <c r="E55" s="3" t="s">
        <v>21</v>
      </c>
      <c r="F55" s="3" t="s">
        <v>21</v>
      </c>
      <c r="G55" s="3" t="s">
        <v>21</v>
      </c>
      <c r="H55" s="3" t="s">
        <v>21</v>
      </c>
      <c r="I55" s="3" t="s">
        <v>21</v>
      </c>
    </row>
  </sheetData>
  <mergeCells count="16">
    <mergeCell ref="A6:C6"/>
    <mergeCell ref="D6:F6"/>
    <mergeCell ref="G6:I6"/>
    <mergeCell ref="A9:I9"/>
    <mergeCell ref="A11:I11"/>
    <mergeCell ref="A19:I19"/>
    <mergeCell ref="A1:I2"/>
    <mergeCell ref="A3:I4"/>
    <mergeCell ref="A7:C8"/>
    <mergeCell ref="D7:F8"/>
    <mergeCell ref="G7:I8"/>
    <mergeCell ref="A20:I22"/>
    <mergeCell ref="A24:I26"/>
    <mergeCell ref="A28:I30"/>
    <mergeCell ref="A32:I34"/>
    <mergeCell ref="A53:I55"/>
  </mergeCells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1"/>
  <sheetViews>
    <sheetView showGridLines="0" topLeftCell="A15" workbookViewId="0">
      <selection activeCell="C35" sqref="C35:F39"/>
    </sheetView>
  </sheetViews>
  <sheetFormatPr defaultColWidth="9" defaultRowHeight="16.8" outlineLevelCol="5"/>
  <cols>
    <col min="1" max="1" width="26" customWidth="1"/>
    <col min="2" max="3" width="15" customWidth="1"/>
    <col min="4" max="4" width="10" style="1" customWidth="1"/>
    <col min="5" max="5" width="68" customWidth="1"/>
    <col min="6" max="6" width="70" customWidth="1"/>
  </cols>
  <sheetData>
    <row r="1" ht="25" customHeight="1" spans="1:6">
      <c r="A1" s="2" t="s">
        <v>22</v>
      </c>
      <c r="B1" s="2" t="s">
        <v>22</v>
      </c>
      <c r="C1" s="2" t="s">
        <v>22</v>
      </c>
      <c r="D1" s="16" t="s">
        <v>22</v>
      </c>
      <c r="E1" s="2" t="s">
        <v>22</v>
      </c>
      <c r="F1" s="2" t="s">
        <v>22</v>
      </c>
    </row>
    <row r="2" ht="25" customHeight="1" spans="1:6">
      <c r="A2" s="3" t="s">
        <v>23</v>
      </c>
      <c r="B2" s="3" t="s">
        <v>23</v>
      </c>
      <c r="C2" s="3" t="s">
        <v>23</v>
      </c>
      <c r="D2" s="17" t="s">
        <v>23</v>
      </c>
      <c r="E2" s="3" t="s">
        <v>23</v>
      </c>
      <c r="F2" s="3" t="s">
        <v>23</v>
      </c>
    </row>
    <row r="3" ht="25" customHeight="1" spans="1:6">
      <c r="A3" s="3" t="s">
        <v>23</v>
      </c>
      <c r="B3" s="3" t="s">
        <v>23</v>
      </c>
      <c r="C3" s="3" t="s">
        <v>23</v>
      </c>
      <c r="D3" s="17" t="s">
        <v>23</v>
      </c>
      <c r="E3" s="3" t="s">
        <v>23</v>
      </c>
      <c r="F3" s="3" t="s">
        <v>23</v>
      </c>
    </row>
    <row r="4" ht="25" customHeight="1" spans="1:6">
      <c r="A4" s="4"/>
      <c r="B4" s="4"/>
      <c r="C4" s="4"/>
      <c r="D4" s="12"/>
      <c r="E4" s="4"/>
      <c r="F4" s="4"/>
    </row>
    <row r="5" ht="42" customHeight="1" spans="1:6">
      <c r="A5" s="5" t="s">
        <v>24</v>
      </c>
      <c r="B5" s="5" t="s">
        <v>25</v>
      </c>
      <c r="C5" s="5" t="s">
        <v>26</v>
      </c>
      <c r="D5" s="11" t="s">
        <v>27</v>
      </c>
      <c r="E5" s="5" t="s">
        <v>28</v>
      </c>
      <c r="F5" s="5" t="s">
        <v>29</v>
      </c>
    </row>
    <row r="6" ht="43" customHeight="1" spans="1:6">
      <c r="A6" s="4" t="s">
        <v>30</v>
      </c>
      <c r="B6" s="31">
        <v>46262</v>
      </c>
      <c r="C6" s="31">
        <v>46239</v>
      </c>
      <c r="D6" s="12" t="s">
        <v>31</v>
      </c>
      <c r="E6" s="6" t="s">
        <v>32</v>
      </c>
      <c r="F6" s="6" t="s">
        <v>33</v>
      </c>
    </row>
    <row r="7" ht="43" customHeight="1" spans="1:6">
      <c r="A7" s="4" t="s">
        <v>34</v>
      </c>
      <c r="B7" s="31">
        <v>46268</v>
      </c>
      <c r="C7" s="31">
        <v>46268</v>
      </c>
      <c r="D7" s="12" t="s">
        <v>31</v>
      </c>
      <c r="E7" s="6" t="s">
        <v>35</v>
      </c>
      <c r="F7" s="6" t="s">
        <v>33</v>
      </c>
    </row>
    <row r="8" ht="43" customHeight="1" spans="1:6">
      <c r="A8" s="4" t="s">
        <v>36</v>
      </c>
      <c r="B8" s="32">
        <v>55000</v>
      </c>
      <c r="C8" s="32">
        <v>79000</v>
      </c>
      <c r="D8" s="12" t="s">
        <v>37</v>
      </c>
      <c r="E8" s="6" t="s">
        <v>38</v>
      </c>
      <c r="F8" s="6" t="s">
        <v>33</v>
      </c>
    </row>
    <row r="9" ht="43" customHeight="1" spans="1:6">
      <c r="A9" s="4" t="s">
        <v>39</v>
      </c>
      <c r="B9" s="32">
        <v>13000</v>
      </c>
      <c r="C9" s="32">
        <v>17000</v>
      </c>
      <c r="D9" s="12" t="s">
        <v>37</v>
      </c>
      <c r="E9" s="6" t="s">
        <v>40</v>
      </c>
      <c r="F9" s="6" t="s">
        <v>33</v>
      </c>
    </row>
    <row r="10" ht="43" customHeight="1" spans="1:6">
      <c r="A10" s="4" t="s">
        <v>41</v>
      </c>
      <c r="B10" s="33">
        <v>0.115</v>
      </c>
      <c r="C10" s="33">
        <v>0.109</v>
      </c>
      <c r="D10" s="12" t="s">
        <v>42</v>
      </c>
      <c r="E10" s="6" t="s">
        <v>43</v>
      </c>
      <c r="F10" s="6" t="s">
        <v>33</v>
      </c>
    </row>
    <row r="11" ht="43" customHeight="1" spans="1:6">
      <c r="A11" s="4" t="s">
        <v>44</v>
      </c>
      <c r="B11" s="32">
        <v>39</v>
      </c>
      <c r="C11" s="32">
        <v>32</v>
      </c>
      <c r="D11" s="12" t="s">
        <v>45</v>
      </c>
      <c r="E11" s="6" t="s">
        <v>46</v>
      </c>
      <c r="F11" s="6" t="s">
        <v>33</v>
      </c>
    </row>
    <row r="12" ht="43" customHeight="1" spans="1:6">
      <c r="A12" s="4" t="s">
        <v>47</v>
      </c>
      <c r="B12" s="34">
        <v>163.6</v>
      </c>
      <c r="C12" s="34">
        <v>192.8</v>
      </c>
      <c r="D12" s="12" t="s">
        <v>48</v>
      </c>
      <c r="E12" s="6" t="s">
        <v>49</v>
      </c>
      <c r="F12" s="6" t="s">
        <v>33</v>
      </c>
    </row>
    <row r="13" ht="43" customHeight="1" spans="1:6">
      <c r="A13" s="4" t="s">
        <v>50</v>
      </c>
      <c r="B13" s="33">
        <v>0.082</v>
      </c>
      <c r="C13" s="33">
        <v>0.073</v>
      </c>
      <c r="D13" s="12" t="s">
        <v>42</v>
      </c>
      <c r="E13" s="6" t="s">
        <v>51</v>
      </c>
      <c r="F13" s="6" t="s">
        <v>33</v>
      </c>
    </row>
    <row r="14" ht="43" customHeight="1" spans="1:6">
      <c r="A14" s="4" t="s">
        <v>52</v>
      </c>
      <c r="B14" s="32">
        <v>204</v>
      </c>
      <c r="C14" s="32"/>
      <c r="D14" s="12" t="s">
        <v>37</v>
      </c>
      <c r="E14" s="6" t="s">
        <v>53</v>
      </c>
      <c r="F14" s="6" t="s">
        <v>33</v>
      </c>
    </row>
    <row r="15" ht="43" customHeight="1" spans="1:6">
      <c r="A15" s="4" t="s">
        <v>54</v>
      </c>
      <c r="B15" s="32">
        <v>58</v>
      </c>
      <c r="C15" s="32"/>
      <c r="D15" s="12" t="s">
        <v>37</v>
      </c>
      <c r="E15" s="6" t="s">
        <v>53</v>
      </c>
      <c r="F15" s="6" t="s">
        <v>33</v>
      </c>
    </row>
    <row r="16" ht="43" customHeight="1" spans="1:6">
      <c r="A16" s="4" t="s">
        <v>55</v>
      </c>
      <c r="B16" s="32">
        <v>134</v>
      </c>
      <c r="C16" s="32"/>
      <c r="D16" s="12" t="s">
        <v>37</v>
      </c>
      <c r="E16" s="6" t="s">
        <v>53</v>
      </c>
      <c r="F16" s="6" t="s">
        <v>33</v>
      </c>
    </row>
    <row r="17" ht="43" customHeight="1" spans="1:6">
      <c r="A17" s="4" t="s">
        <v>56</v>
      </c>
      <c r="B17" s="32">
        <v>91</v>
      </c>
      <c r="C17" s="32"/>
      <c r="D17" s="12" t="s">
        <v>37</v>
      </c>
      <c r="E17" s="6" t="s">
        <v>53</v>
      </c>
      <c r="F17" s="6" t="s">
        <v>33</v>
      </c>
    </row>
    <row r="18" ht="43" customHeight="1" spans="1:6">
      <c r="A18" s="4" t="s">
        <v>57</v>
      </c>
      <c r="B18" s="32">
        <v>396</v>
      </c>
      <c r="C18" s="32"/>
      <c r="D18" s="12" t="s">
        <v>37</v>
      </c>
      <c r="E18" s="6" t="s">
        <v>58</v>
      </c>
      <c r="F18" s="6" t="s">
        <v>33</v>
      </c>
    </row>
    <row r="19" ht="43" customHeight="1" spans="1:6">
      <c r="A19" s="4" t="s">
        <v>59</v>
      </c>
      <c r="B19" s="32">
        <v>4</v>
      </c>
      <c r="C19" s="32"/>
      <c r="D19" s="12" t="s">
        <v>60</v>
      </c>
      <c r="E19" s="6" t="s">
        <v>61</v>
      </c>
      <c r="F19" s="6" t="s">
        <v>33</v>
      </c>
    </row>
    <row r="20" ht="43" customHeight="1" spans="1:6">
      <c r="A20" s="4" t="s">
        <v>62</v>
      </c>
      <c r="B20" s="32">
        <v>74</v>
      </c>
      <c r="C20" s="32">
        <v>114</v>
      </c>
      <c r="D20" s="12" t="s">
        <v>63</v>
      </c>
      <c r="E20" s="6" t="s">
        <v>64</v>
      </c>
      <c r="F20" s="6" t="s">
        <v>65</v>
      </c>
    </row>
    <row r="21" ht="43" customHeight="1" spans="1:6">
      <c r="A21" s="4" t="s">
        <v>66</v>
      </c>
      <c r="B21" s="32">
        <v>1</v>
      </c>
      <c r="C21" s="32">
        <v>2</v>
      </c>
      <c r="D21" s="12" t="s">
        <v>63</v>
      </c>
      <c r="E21" s="6" t="s">
        <v>67</v>
      </c>
      <c r="F21" s="6" t="s">
        <v>65</v>
      </c>
    </row>
    <row r="22" ht="43" customHeight="1" spans="1:6">
      <c r="A22" s="4" t="s">
        <v>68</v>
      </c>
      <c r="B22" s="32">
        <v>74</v>
      </c>
      <c r="C22" s="32"/>
      <c r="D22" s="12" t="s">
        <v>63</v>
      </c>
      <c r="E22" s="6" t="s">
        <v>69</v>
      </c>
      <c r="F22" s="6" t="s">
        <v>70</v>
      </c>
    </row>
    <row r="23" ht="43" customHeight="1" spans="1:6">
      <c r="A23" s="4" t="s">
        <v>71</v>
      </c>
      <c r="B23" s="32">
        <v>296</v>
      </c>
      <c r="C23" s="32"/>
      <c r="D23" s="12" t="s">
        <v>63</v>
      </c>
      <c r="E23" s="6" t="s">
        <v>53</v>
      </c>
      <c r="F23" s="6" t="s">
        <v>33</v>
      </c>
    </row>
    <row r="24" ht="25" customHeight="1" spans="1:6">
      <c r="A24" s="4"/>
      <c r="B24" s="4"/>
      <c r="C24" s="4"/>
      <c r="D24" s="12"/>
      <c r="E24" s="4"/>
      <c r="F24" s="4"/>
    </row>
    <row r="25" ht="25" customHeight="1" spans="1:6">
      <c r="A25" s="4"/>
      <c r="B25" s="4"/>
      <c r="C25" s="4"/>
      <c r="D25" s="12"/>
      <c r="E25" s="4"/>
      <c r="F25" s="4"/>
    </row>
    <row r="26" ht="25" customHeight="1" spans="1:6">
      <c r="A26" s="2" t="s">
        <v>72</v>
      </c>
      <c r="B26" s="2" t="s">
        <v>72</v>
      </c>
      <c r="C26" s="2" t="s">
        <v>72</v>
      </c>
      <c r="D26" s="16" t="s">
        <v>72</v>
      </c>
      <c r="E26" s="2" t="s">
        <v>72</v>
      </c>
      <c r="F26" s="2" t="s">
        <v>72</v>
      </c>
    </row>
    <row r="27" ht="25" customHeight="1" spans="1:6">
      <c r="A27" s="4" t="s">
        <v>73</v>
      </c>
      <c r="B27" s="8">
        <v>121</v>
      </c>
      <c r="C27" s="6" t="s">
        <v>74</v>
      </c>
      <c r="D27" s="29"/>
      <c r="E27" s="6"/>
      <c r="F27" s="6"/>
    </row>
    <row r="28" ht="25" customHeight="1" spans="1:6">
      <c r="A28" s="4" t="s">
        <v>75</v>
      </c>
      <c r="B28" s="8">
        <v>7</v>
      </c>
      <c r="C28" s="6" t="s">
        <v>76</v>
      </c>
      <c r="D28" s="29"/>
      <c r="E28" s="6"/>
      <c r="F28" s="6"/>
    </row>
    <row r="29" ht="25" customHeight="1" spans="1:6">
      <c r="A29" s="4" t="s">
        <v>77</v>
      </c>
      <c r="B29" s="8">
        <v>575</v>
      </c>
      <c r="C29" s="6" t="s">
        <v>76</v>
      </c>
      <c r="D29" s="29"/>
      <c r="E29" s="6"/>
      <c r="F29" s="6"/>
    </row>
    <row r="30" ht="25" customHeight="1" spans="1:6">
      <c r="A30" s="4" t="s">
        <v>78</v>
      </c>
      <c r="B30" s="35">
        <v>0.69</v>
      </c>
      <c r="C30" s="6" t="s">
        <v>79</v>
      </c>
      <c r="D30" s="29"/>
      <c r="E30" s="6"/>
      <c r="F30" s="6"/>
    </row>
    <row r="31" ht="25" customHeight="1" spans="1:6">
      <c r="A31" s="4" t="s">
        <v>80</v>
      </c>
      <c r="B31" s="35">
        <v>0.31</v>
      </c>
      <c r="C31" s="6" t="s">
        <v>79</v>
      </c>
      <c r="D31" s="29"/>
      <c r="E31" s="6"/>
      <c r="F31" s="6"/>
    </row>
    <row r="32" ht="25" customHeight="1" spans="1:6">
      <c r="A32" s="4"/>
      <c r="B32" s="4"/>
      <c r="C32" s="4"/>
      <c r="D32" s="12"/>
      <c r="E32" s="4"/>
      <c r="F32" s="4"/>
    </row>
    <row r="33" ht="25" customHeight="1" spans="1:6">
      <c r="A33" s="4"/>
      <c r="B33" s="4"/>
      <c r="C33" s="4"/>
      <c r="D33" s="12"/>
      <c r="E33" s="4"/>
      <c r="F33" s="4"/>
    </row>
    <row r="34" ht="25" customHeight="1" spans="1:6">
      <c r="A34" s="2" t="s">
        <v>81</v>
      </c>
      <c r="B34" s="2" t="s">
        <v>81</v>
      </c>
      <c r="C34" s="2" t="s">
        <v>81</v>
      </c>
      <c r="D34" s="16" t="s">
        <v>81</v>
      </c>
      <c r="E34" s="2" t="s">
        <v>81</v>
      </c>
      <c r="F34" s="2" t="s">
        <v>81</v>
      </c>
    </row>
    <row r="35" ht="25" customHeight="1" spans="1:6">
      <c r="A35" s="4" t="s">
        <v>82</v>
      </c>
      <c r="B35" s="36">
        <v>0.4343</v>
      </c>
      <c r="C35" s="3" t="s">
        <v>83</v>
      </c>
      <c r="D35" s="17" t="s">
        <v>83</v>
      </c>
      <c r="E35" s="3" t="s">
        <v>83</v>
      </c>
      <c r="F35" s="3" t="s">
        <v>83</v>
      </c>
    </row>
    <row r="36" ht="25" customHeight="1" spans="1:6">
      <c r="A36" s="4" t="s">
        <v>84</v>
      </c>
      <c r="B36" s="36">
        <v>0.4242</v>
      </c>
      <c r="C36" s="3" t="s">
        <v>83</v>
      </c>
      <c r="D36" s="17" t="s">
        <v>83</v>
      </c>
      <c r="E36" s="3" t="s">
        <v>83</v>
      </c>
      <c r="F36" s="3" t="s">
        <v>83</v>
      </c>
    </row>
    <row r="37" ht="25" customHeight="1" spans="1:6">
      <c r="A37" s="4" t="s">
        <v>85</v>
      </c>
      <c r="B37" s="36">
        <v>0.0707</v>
      </c>
      <c r="C37" s="3" t="s">
        <v>83</v>
      </c>
      <c r="D37" s="17" t="s">
        <v>83</v>
      </c>
      <c r="E37" s="3" t="s">
        <v>83</v>
      </c>
      <c r="F37" s="3" t="s">
        <v>83</v>
      </c>
    </row>
    <row r="38" ht="25" customHeight="1" spans="1:6">
      <c r="A38" s="4" t="s">
        <v>86</v>
      </c>
      <c r="B38" s="36">
        <v>0.0505</v>
      </c>
      <c r="C38" s="3" t="s">
        <v>83</v>
      </c>
      <c r="D38" s="17" t="s">
        <v>83</v>
      </c>
      <c r="E38" s="3" t="s">
        <v>83</v>
      </c>
      <c r="F38" s="3" t="s">
        <v>83</v>
      </c>
    </row>
    <row r="39" ht="25" customHeight="1" spans="1:6">
      <c r="A39" s="4" t="s">
        <v>87</v>
      </c>
      <c r="B39" s="36">
        <v>0.0202</v>
      </c>
      <c r="C39" s="3" t="s">
        <v>83</v>
      </c>
      <c r="D39" s="17" t="s">
        <v>83</v>
      </c>
      <c r="E39" s="3" t="s">
        <v>83</v>
      </c>
      <c r="F39" s="3" t="s">
        <v>83</v>
      </c>
    </row>
    <row r="40" ht="25" customHeight="1" spans="1:6">
      <c r="A40" s="4"/>
      <c r="B40" s="4"/>
      <c r="C40" s="4"/>
      <c r="D40" s="12"/>
      <c r="E40" s="4"/>
      <c r="F40" s="4"/>
    </row>
    <row r="41" ht="25" customHeight="1" spans="1:6">
      <c r="A41" s="4"/>
      <c r="B41" s="4"/>
      <c r="C41" s="4"/>
      <c r="D41" s="12"/>
      <c r="E41" s="4"/>
      <c r="F41" s="4"/>
    </row>
  </sheetData>
  <mergeCells count="10">
    <mergeCell ref="A1:F1"/>
    <mergeCell ref="A26:F26"/>
    <mergeCell ref="C27:F27"/>
    <mergeCell ref="C28:F28"/>
    <mergeCell ref="C29:F29"/>
    <mergeCell ref="C30:F30"/>
    <mergeCell ref="C31:F31"/>
    <mergeCell ref="A34:F34"/>
    <mergeCell ref="A2:F3"/>
    <mergeCell ref="C35:F39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9"/>
  <sheetViews>
    <sheetView showGridLines="0" workbookViewId="0">
      <selection activeCell="I26" sqref="I26"/>
    </sheetView>
  </sheetViews>
  <sheetFormatPr defaultColWidth="9" defaultRowHeight="16.8"/>
  <cols>
    <col min="1" max="1" width="7" customWidth="1"/>
    <col min="2" max="2" width="48" customWidth="1"/>
    <col min="3" max="3" width="15" style="1" customWidth="1"/>
    <col min="4" max="4" width="25" style="1" customWidth="1"/>
    <col min="5" max="6" width="12" style="1" customWidth="1"/>
    <col min="7" max="7" width="15" style="1" customWidth="1"/>
    <col min="8" max="12" width="10" style="1" customWidth="1"/>
    <col min="13" max="13" width="17" style="1" customWidth="1"/>
    <col min="14" max="14" width="10" style="1" customWidth="1"/>
    <col min="15" max="15" width="15" style="1" customWidth="1"/>
    <col min="16" max="16" width="65" customWidth="1"/>
  </cols>
  <sheetData>
    <row r="1" ht="17.6" spans="1:16">
      <c r="A1" s="2" t="s">
        <v>88</v>
      </c>
      <c r="B1" s="2" t="s">
        <v>88</v>
      </c>
      <c r="C1" s="16" t="s">
        <v>88</v>
      </c>
      <c r="D1" s="16" t="s">
        <v>88</v>
      </c>
      <c r="E1" s="16" t="s">
        <v>88</v>
      </c>
      <c r="F1" s="16" t="s">
        <v>88</v>
      </c>
      <c r="G1" s="16" t="s">
        <v>88</v>
      </c>
      <c r="H1" s="16" t="s">
        <v>88</v>
      </c>
      <c r="I1" s="16" t="s">
        <v>88</v>
      </c>
      <c r="J1" s="16" t="s">
        <v>88</v>
      </c>
      <c r="K1" s="16" t="s">
        <v>88</v>
      </c>
      <c r="L1" s="16" t="s">
        <v>88</v>
      </c>
      <c r="M1" s="16" t="s">
        <v>88</v>
      </c>
      <c r="N1" s="16" t="s">
        <v>88</v>
      </c>
      <c r="O1" s="16" t="s">
        <v>88</v>
      </c>
      <c r="P1" s="2" t="s">
        <v>88</v>
      </c>
    </row>
    <row r="2" spans="1:16">
      <c r="A2" s="3" t="s">
        <v>89</v>
      </c>
      <c r="B2" s="3" t="s">
        <v>89</v>
      </c>
      <c r="C2" s="17" t="s">
        <v>89</v>
      </c>
      <c r="D2" s="17" t="s">
        <v>89</v>
      </c>
      <c r="E2" s="17" t="s">
        <v>89</v>
      </c>
      <c r="F2" s="17" t="s">
        <v>89</v>
      </c>
      <c r="G2" s="17" t="s">
        <v>89</v>
      </c>
      <c r="H2" s="17" t="s">
        <v>89</v>
      </c>
      <c r="I2" s="17" t="s">
        <v>89</v>
      </c>
      <c r="J2" s="17" t="s">
        <v>89</v>
      </c>
      <c r="K2" s="17" t="s">
        <v>89</v>
      </c>
      <c r="L2" s="17" t="s">
        <v>89</v>
      </c>
      <c r="M2" s="17" t="s">
        <v>89</v>
      </c>
      <c r="N2" s="17" t="s">
        <v>89</v>
      </c>
      <c r="O2" s="17" t="s">
        <v>89</v>
      </c>
      <c r="P2" s="3" t="s">
        <v>89</v>
      </c>
    </row>
    <row r="3" spans="1:16">
      <c r="A3" s="3" t="s">
        <v>89</v>
      </c>
      <c r="B3" s="3" t="s">
        <v>89</v>
      </c>
      <c r="C3" s="17" t="s">
        <v>89</v>
      </c>
      <c r="D3" s="17" t="s">
        <v>89</v>
      </c>
      <c r="E3" s="17" t="s">
        <v>89</v>
      </c>
      <c r="F3" s="17" t="s">
        <v>89</v>
      </c>
      <c r="G3" s="17" t="s">
        <v>89</v>
      </c>
      <c r="H3" s="17" t="s">
        <v>89</v>
      </c>
      <c r="I3" s="17" t="s">
        <v>89</v>
      </c>
      <c r="J3" s="17" t="s">
        <v>89</v>
      </c>
      <c r="K3" s="17" t="s">
        <v>89</v>
      </c>
      <c r="L3" s="17" t="s">
        <v>89</v>
      </c>
      <c r="M3" s="17" t="s">
        <v>89</v>
      </c>
      <c r="N3" s="17" t="s">
        <v>89</v>
      </c>
      <c r="O3" s="17" t="s">
        <v>89</v>
      </c>
      <c r="P3" s="3" t="s">
        <v>89</v>
      </c>
    </row>
    <row r="4" spans="1:16">
      <c r="A4" s="4"/>
      <c r="B4" s="4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4"/>
    </row>
    <row r="5" ht="33" customHeight="1" spans="1:16">
      <c r="A5" s="5" t="s">
        <v>90</v>
      </c>
      <c r="B5" s="5" t="s">
        <v>91</v>
      </c>
      <c r="C5" s="11" t="s">
        <v>92</v>
      </c>
      <c r="D5" s="11" t="s">
        <v>93</v>
      </c>
      <c r="E5" s="11" t="s">
        <v>94</v>
      </c>
      <c r="F5" s="11" t="s">
        <v>8</v>
      </c>
      <c r="G5" s="11" t="s">
        <v>41</v>
      </c>
      <c r="H5" s="11" t="s">
        <v>95</v>
      </c>
      <c r="I5" s="11" t="s">
        <v>96</v>
      </c>
      <c r="J5" s="11" t="s">
        <v>97</v>
      </c>
      <c r="K5" s="11" t="s">
        <v>9</v>
      </c>
      <c r="L5" s="11" t="s">
        <v>98</v>
      </c>
      <c r="M5" s="11" t="s">
        <v>99</v>
      </c>
      <c r="N5" s="11" t="s">
        <v>100</v>
      </c>
      <c r="O5" s="11" t="s">
        <v>101</v>
      </c>
      <c r="P5" s="5" t="s">
        <v>29</v>
      </c>
    </row>
    <row r="6" ht="33" customHeight="1" spans="1:16">
      <c r="A6" s="4">
        <v>1</v>
      </c>
      <c r="B6" s="6" t="s">
        <v>102</v>
      </c>
      <c r="C6" s="30">
        <v>46269</v>
      </c>
      <c r="D6" s="12" t="s">
        <v>103</v>
      </c>
      <c r="E6" s="25">
        <v>406</v>
      </c>
      <c r="F6" s="25">
        <v>296</v>
      </c>
      <c r="G6" s="26">
        <v>0.082</v>
      </c>
      <c r="H6" s="25">
        <v>7</v>
      </c>
      <c r="I6" s="25">
        <v>0</v>
      </c>
      <c r="J6" s="25">
        <v>10</v>
      </c>
      <c r="K6" s="25">
        <v>1</v>
      </c>
      <c r="L6" s="25">
        <v>5</v>
      </c>
      <c r="M6" s="25">
        <v>23</v>
      </c>
      <c r="N6" s="25">
        <v>0</v>
      </c>
      <c r="O6" s="30">
        <v>46270</v>
      </c>
      <c r="P6" s="6" t="s">
        <v>104</v>
      </c>
    </row>
    <row r="7" ht="33" customHeight="1" spans="1:16">
      <c r="A7" s="4">
        <v>2</v>
      </c>
      <c r="B7" s="6" t="s">
        <v>105</v>
      </c>
      <c r="C7" s="30">
        <v>46267</v>
      </c>
      <c r="D7" s="12" t="s">
        <v>106</v>
      </c>
      <c r="E7" s="25">
        <v>4121</v>
      </c>
      <c r="F7" s="25">
        <v>631</v>
      </c>
      <c r="G7" s="26">
        <v>0.1</v>
      </c>
      <c r="H7" s="25">
        <v>23</v>
      </c>
      <c r="I7" s="25">
        <v>3</v>
      </c>
      <c r="J7" s="25">
        <v>7</v>
      </c>
      <c r="K7" s="25">
        <v>4</v>
      </c>
      <c r="L7" s="25">
        <v>8</v>
      </c>
      <c r="M7" s="25">
        <v>44</v>
      </c>
      <c r="N7" s="25">
        <v>0</v>
      </c>
      <c r="O7" s="30">
        <v>46270</v>
      </c>
      <c r="P7" s="6" t="s">
        <v>104</v>
      </c>
    </row>
    <row r="8" ht="33" customHeight="1" spans="1:16">
      <c r="A8" s="4">
        <v>3</v>
      </c>
      <c r="B8" s="6" t="s">
        <v>107</v>
      </c>
      <c r="C8" s="30">
        <v>46267</v>
      </c>
      <c r="D8" s="12" t="s">
        <v>108</v>
      </c>
      <c r="E8" s="25">
        <v>700</v>
      </c>
      <c r="F8" s="25">
        <v>33</v>
      </c>
      <c r="G8" s="26">
        <v>0.049</v>
      </c>
      <c r="H8" s="25">
        <v>3</v>
      </c>
      <c r="I8" s="25">
        <v>0</v>
      </c>
      <c r="J8" s="25">
        <v>0</v>
      </c>
      <c r="K8" s="25">
        <v>0</v>
      </c>
      <c r="L8" s="25">
        <v>0</v>
      </c>
      <c r="M8" s="25">
        <v>29</v>
      </c>
      <c r="N8" s="25">
        <v>0</v>
      </c>
      <c r="O8" s="30">
        <v>46270</v>
      </c>
      <c r="P8" s="6" t="s">
        <v>104</v>
      </c>
    </row>
    <row r="9" ht="33" customHeight="1" spans="1:16">
      <c r="A9" s="4">
        <v>4</v>
      </c>
      <c r="B9" s="6" t="s">
        <v>109</v>
      </c>
      <c r="C9" s="30">
        <v>46265</v>
      </c>
      <c r="D9" s="12" t="s">
        <v>110</v>
      </c>
      <c r="E9" s="25">
        <v>39134</v>
      </c>
      <c r="F9" s="25">
        <v>11594</v>
      </c>
      <c r="G9" s="26">
        <v>0.127</v>
      </c>
      <c r="H9" s="25">
        <v>151</v>
      </c>
      <c r="I9" s="25">
        <v>49</v>
      </c>
      <c r="J9" s="25">
        <v>98</v>
      </c>
      <c r="K9" s="25">
        <v>39</v>
      </c>
      <c r="L9" s="25">
        <v>62</v>
      </c>
      <c r="M9" s="25">
        <v>52</v>
      </c>
      <c r="N9" s="25">
        <v>0</v>
      </c>
      <c r="O9" s="30">
        <v>46270</v>
      </c>
      <c r="P9" s="6" t="s">
        <v>104</v>
      </c>
    </row>
    <row r="10" ht="33" customHeight="1" spans="1:16">
      <c r="A10" s="4">
        <v>5</v>
      </c>
      <c r="B10" s="6" t="s">
        <v>111</v>
      </c>
      <c r="C10" s="30">
        <v>46262</v>
      </c>
      <c r="D10" s="12" t="s">
        <v>112</v>
      </c>
      <c r="E10" s="25">
        <v>6662</v>
      </c>
      <c r="F10" s="25">
        <v>923</v>
      </c>
      <c r="G10" s="26">
        <v>0.095</v>
      </c>
      <c r="H10" s="25">
        <v>30</v>
      </c>
      <c r="I10" s="25">
        <v>5</v>
      </c>
      <c r="J10" s="25">
        <v>19</v>
      </c>
      <c r="K10" s="25">
        <v>10</v>
      </c>
      <c r="L10" s="25">
        <v>12</v>
      </c>
      <c r="M10" s="25">
        <v>91</v>
      </c>
      <c r="N10" s="25">
        <v>0</v>
      </c>
      <c r="O10" s="30">
        <v>46270</v>
      </c>
      <c r="P10" s="6" t="s">
        <v>104</v>
      </c>
    </row>
    <row r="11" ht="33" customHeight="1" spans="1:16">
      <c r="A11" s="4">
        <v>6</v>
      </c>
      <c r="B11" s="6" t="s">
        <v>113</v>
      </c>
      <c r="C11" s="30">
        <v>46260</v>
      </c>
      <c r="D11" s="12" t="s">
        <v>114</v>
      </c>
      <c r="E11" s="25">
        <v>3636</v>
      </c>
      <c r="F11" s="25">
        <v>885</v>
      </c>
      <c r="G11" s="26">
        <v>0.082</v>
      </c>
      <c r="H11" s="25">
        <v>26</v>
      </c>
      <c r="I11" s="25">
        <v>3</v>
      </c>
      <c r="J11" s="25">
        <v>18</v>
      </c>
      <c r="K11" s="25">
        <v>14</v>
      </c>
      <c r="L11" s="25">
        <v>9</v>
      </c>
      <c r="M11" s="25">
        <v>46</v>
      </c>
      <c r="N11" s="25">
        <v>0</v>
      </c>
      <c r="O11" s="30">
        <v>46270</v>
      </c>
      <c r="P11" s="6" t="s">
        <v>104</v>
      </c>
    </row>
    <row r="12" ht="33" customHeight="1" spans="1:16">
      <c r="A12" s="4">
        <v>7</v>
      </c>
      <c r="B12" s="6" t="s">
        <v>115</v>
      </c>
      <c r="C12" s="30">
        <v>46258</v>
      </c>
      <c r="D12" s="12" t="s">
        <v>116</v>
      </c>
      <c r="E12" s="25">
        <v>2676</v>
      </c>
      <c r="F12" s="25">
        <v>441</v>
      </c>
      <c r="G12" s="26">
        <v>0.078</v>
      </c>
      <c r="H12" s="25">
        <v>13</v>
      </c>
      <c r="I12" s="25">
        <v>0</v>
      </c>
      <c r="J12" s="25">
        <v>15</v>
      </c>
      <c r="K12" s="25">
        <v>9</v>
      </c>
      <c r="L12" s="25">
        <v>3</v>
      </c>
      <c r="M12" s="25">
        <v>36</v>
      </c>
      <c r="N12" s="25">
        <v>0</v>
      </c>
      <c r="O12" s="30">
        <v>46270</v>
      </c>
      <c r="P12" s="6" t="s">
        <v>104</v>
      </c>
    </row>
    <row r="13" ht="33" customHeight="1" spans="1:16">
      <c r="A13" s="4">
        <v>8</v>
      </c>
      <c r="B13" s="6" t="s">
        <v>117</v>
      </c>
      <c r="C13" s="30">
        <v>46254</v>
      </c>
      <c r="D13" s="12" t="s">
        <v>118</v>
      </c>
      <c r="E13" s="25">
        <v>869</v>
      </c>
      <c r="F13" s="25">
        <v>178</v>
      </c>
      <c r="G13" s="26">
        <v>0.075</v>
      </c>
      <c r="H13" s="25">
        <v>4</v>
      </c>
      <c r="I13" s="25">
        <v>0</v>
      </c>
      <c r="J13" s="25">
        <v>1</v>
      </c>
      <c r="K13" s="25">
        <v>0</v>
      </c>
      <c r="L13" s="25">
        <v>1</v>
      </c>
      <c r="M13" s="25">
        <v>58</v>
      </c>
      <c r="N13" s="25">
        <v>0</v>
      </c>
      <c r="O13" s="30">
        <v>46270</v>
      </c>
      <c r="P13" s="6" t="s">
        <v>104</v>
      </c>
    </row>
    <row r="14" ht="33" customHeight="1" spans="1:16">
      <c r="A14" s="4">
        <v>9</v>
      </c>
      <c r="B14" s="6" t="s">
        <v>119</v>
      </c>
      <c r="C14" s="30">
        <v>46252</v>
      </c>
      <c r="D14" s="12" t="s">
        <v>120</v>
      </c>
      <c r="E14" s="25">
        <v>2871</v>
      </c>
      <c r="F14" s="25">
        <v>425</v>
      </c>
      <c r="G14" s="26">
        <v>0.126</v>
      </c>
      <c r="H14" s="25">
        <v>18</v>
      </c>
      <c r="I14" s="25">
        <v>2</v>
      </c>
      <c r="J14" s="25">
        <v>10</v>
      </c>
      <c r="K14" s="25">
        <v>1</v>
      </c>
      <c r="L14" s="25">
        <v>2</v>
      </c>
      <c r="M14" s="25">
        <v>36</v>
      </c>
      <c r="N14" s="25">
        <v>0</v>
      </c>
      <c r="O14" s="30">
        <v>46270</v>
      </c>
      <c r="P14" s="6" t="s">
        <v>104</v>
      </c>
    </row>
    <row r="15" ht="33" customHeight="1" spans="1:16">
      <c r="A15" s="4">
        <v>10</v>
      </c>
      <c r="B15" s="6" t="s">
        <v>121</v>
      </c>
      <c r="C15" s="30">
        <v>46247</v>
      </c>
      <c r="D15" s="12" t="s">
        <v>122</v>
      </c>
      <c r="E15" s="25">
        <v>5367</v>
      </c>
      <c r="F15" s="25">
        <v>710</v>
      </c>
      <c r="G15" s="26">
        <v>0.117</v>
      </c>
      <c r="H15" s="25">
        <v>16</v>
      </c>
      <c r="I15" s="25">
        <v>3</v>
      </c>
      <c r="J15" s="25">
        <v>8</v>
      </c>
      <c r="K15" s="25">
        <v>1</v>
      </c>
      <c r="L15" s="25">
        <v>1</v>
      </c>
      <c r="M15" s="25">
        <v>18</v>
      </c>
      <c r="N15" s="25">
        <v>0</v>
      </c>
      <c r="O15" s="30">
        <v>46270</v>
      </c>
      <c r="P15" s="6" t="s">
        <v>104</v>
      </c>
    </row>
    <row r="16" ht="33" customHeight="1" spans="1:16">
      <c r="A16" s="4">
        <v>11</v>
      </c>
      <c r="B16" s="6" t="s">
        <v>123</v>
      </c>
      <c r="C16" s="30">
        <v>46245</v>
      </c>
      <c r="D16" s="12" t="s">
        <v>124</v>
      </c>
      <c r="E16" s="25">
        <v>4370</v>
      </c>
      <c r="F16" s="25">
        <v>618</v>
      </c>
      <c r="G16" s="26">
        <v>0.09</v>
      </c>
      <c r="H16" s="25">
        <v>24</v>
      </c>
      <c r="I16" s="25">
        <v>8</v>
      </c>
      <c r="J16" s="25">
        <v>11</v>
      </c>
      <c r="K16" s="25">
        <v>7</v>
      </c>
      <c r="L16" s="25">
        <v>3</v>
      </c>
      <c r="M16" s="25">
        <v>35</v>
      </c>
      <c r="N16" s="25">
        <v>0</v>
      </c>
      <c r="O16" s="30">
        <v>46270</v>
      </c>
      <c r="P16" s="6" t="s">
        <v>104</v>
      </c>
    </row>
    <row r="17" ht="33" customHeight="1" spans="1:16">
      <c r="A17" s="4">
        <v>12</v>
      </c>
      <c r="B17" s="6" t="s">
        <v>125</v>
      </c>
      <c r="C17" s="30">
        <v>46241</v>
      </c>
      <c r="D17" s="12" t="s">
        <v>126</v>
      </c>
      <c r="E17" s="25">
        <v>1232</v>
      </c>
      <c r="F17" s="25">
        <v>129</v>
      </c>
      <c r="G17" s="26">
        <v>0.081</v>
      </c>
      <c r="H17" s="25">
        <v>5</v>
      </c>
      <c r="I17" s="25">
        <v>2</v>
      </c>
      <c r="J17" s="25">
        <v>2</v>
      </c>
      <c r="K17" s="25">
        <v>0</v>
      </c>
      <c r="L17" s="25">
        <v>2</v>
      </c>
      <c r="M17" s="25">
        <v>2</v>
      </c>
      <c r="N17" s="25">
        <v>0</v>
      </c>
      <c r="O17" s="30">
        <v>46270</v>
      </c>
      <c r="P17" s="6" t="s">
        <v>104</v>
      </c>
    </row>
    <row r="18" ht="33" customHeight="1" spans="1:16">
      <c r="A18" s="4">
        <v>13</v>
      </c>
      <c r="B18" s="6" t="s">
        <v>127</v>
      </c>
      <c r="C18" s="30">
        <v>46240</v>
      </c>
      <c r="D18" s="12" t="s">
        <v>128</v>
      </c>
      <c r="E18" s="25">
        <v>1258</v>
      </c>
      <c r="F18" s="25">
        <v>214</v>
      </c>
      <c r="G18" s="26">
        <v>0.07</v>
      </c>
      <c r="H18" s="25">
        <v>8</v>
      </c>
      <c r="I18" s="25">
        <v>0</v>
      </c>
      <c r="J18" s="25">
        <v>1</v>
      </c>
      <c r="K18" s="25">
        <v>0</v>
      </c>
      <c r="L18" s="25">
        <v>0</v>
      </c>
      <c r="M18" s="25">
        <v>11</v>
      </c>
      <c r="N18" s="25">
        <v>0</v>
      </c>
      <c r="O18" s="30">
        <v>46270</v>
      </c>
      <c r="P18" s="6" t="s">
        <v>104</v>
      </c>
    </row>
    <row r="19" ht="33" customHeight="1" spans="1:16">
      <c r="A19" s="4">
        <v>14</v>
      </c>
      <c r="B19" s="6" t="s">
        <v>129</v>
      </c>
      <c r="C19" s="30">
        <v>46239</v>
      </c>
      <c r="D19" s="12" t="s">
        <v>130</v>
      </c>
      <c r="E19" s="25">
        <v>3934</v>
      </c>
      <c r="F19" s="25">
        <v>574</v>
      </c>
      <c r="G19" s="26">
        <v>0.102</v>
      </c>
      <c r="H19" s="25">
        <v>13</v>
      </c>
      <c r="I19" s="25">
        <v>7</v>
      </c>
      <c r="J19" s="25">
        <v>5</v>
      </c>
      <c r="K19" s="25">
        <v>3</v>
      </c>
      <c r="L19" s="25">
        <v>3</v>
      </c>
      <c r="M19" s="25">
        <v>24</v>
      </c>
      <c r="N19" s="25">
        <v>0</v>
      </c>
      <c r="O19" s="30">
        <v>46270</v>
      </c>
      <c r="P19" s="6" t="s">
        <v>104</v>
      </c>
    </row>
  </sheetData>
  <mergeCells count="2">
    <mergeCell ref="A1:P1"/>
    <mergeCell ref="A2:P3"/>
  </mergeCells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showGridLines="0" topLeftCell="A9" workbookViewId="0">
      <selection activeCell="E18" sqref="E18"/>
    </sheetView>
  </sheetViews>
  <sheetFormatPr defaultColWidth="9" defaultRowHeight="16.8"/>
  <cols>
    <col min="1" max="1" width="24" customWidth="1"/>
    <col min="2" max="2" width="12" customWidth="1"/>
    <col min="3" max="3" width="13" customWidth="1"/>
    <col min="4" max="4" width="16" customWidth="1"/>
    <col min="5" max="5" width="15" customWidth="1"/>
    <col min="6" max="6" width="13" customWidth="1"/>
    <col min="7" max="7" width="15" customWidth="1"/>
    <col min="8" max="8" width="11" customWidth="1"/>
    <col min="9" max="9" width="37" customWidth="1"/>
    <col min="10" max="10" width="68" customWidth="1"/>
  </cols>
  <sheetData>
    <row r="1" ht="25" customHeight="1" spans="1:10">
      <c r="A1" s="2" t="s">
        <v>131</v>
      </c>
      <c r="B1" s="2" t="s">
        <v>131</v>
      </c>
      <c r="C1" s="2" t="s">
        <v>131</v>
      </c>
      <c r="D1" s="2" t="s">
        <v>131</v>
      </c>
      <c r="E1" s="2" t="s">
        <v>131</v>
      </c>
      <c r="F1" s="2" t="s">
        <v>131</v>
      </c>
      <c r="G1" s="2" t="s">
        <v>131</v>
      </c>
      <c r="H1" s="2" t="s">
        <v>131</v>
      </c>
      <c r="I1" s="2" t="s">
        <v>131</v>
      </c>
      <c r="J1" s="2" t="s">
        <v>131</v>
      </c>
    </row>
    <row r="2" ht="25" customHeight="1" spans="1:10">
      <c r="A2" s="3" t="s">
        <v>132</v>
      </c>
      <c r="B2" s="3" t="s">
        <v>132</v>
      </c>
      <c r="C2" s="3" t="s">
        <v>132</v>
      </c>
      <c r="D2" s="3" t="s">
        <v>132</v>
      </c>
      <c r="E2" s="3" t="s">
        <v>132</v>
      </c>
      <c r="F2" s="3" t="s">
        <v>132</v>
      </c>
      <c r="G2" s="3" t="s">
        <v>132</v>
      </c>
      <c r="H2" s="3" t="s">
        <v>132</v>
      </c>
      <c r="I2" s="3" t="s">
        <v>132</v>
      </c>
      <c r="J2" s="3" t="s">
        <v>132</v>
      </c>
    </row>
    <row r="3" ht="25" customHeight="1" spans="1:10">
      <c r="A3" s="3" t="s">
        <v>132</v>
      </c>
      <c r="B3" s="3" t="s">
        <v>132</v>
      </c>
      <c r="C3" s="3" t="s">
        <v>132</v>
      </c>
      <c r="D3" s="3" t="s">
        <v>132</v>
      </c>
      <c r="E3" s="3" t="s">
        <v>132</v>
      </c>
      <c r="F3" s="3" t="s">
        <v>132</v>
      </c>
      <c r="G3" s="3" t="s">
        <v>132</v>
      </c>
      <c r="H3" s="3" t="s">
        <v>132</v>
      </c>
      <c r="I3" s="3" t="s">
        <v>132</v>
      </c>
      <c r="J3" s="3" t="s">
        <v>132</v>
      </c>
    </row>
    <row r="4" ht="25" customHeight="1" spans="1:10">
      <c r="A4" s="4"/>
      <c r="B4" s="4"/>
      <c r="C4" s="4"/>
      <c r="D4" s="4"/>
      <c r="E4" s="4"/>
      <c r="F4" s="4"/>
      <c r="G4" s="4"/>
      <c r="H4" s="4"/>
      <c r="I4" s="4"/>
      <c r="J4" s="4"/>
    </row>
    <row r="5" ht="42" customHeight="1" spans="1:10">
      <c r="A5" s="11" t="s">
        <v>133</v>
      </c>
      <c r="B5" s="11" t="s">
        <v>134</v>
      </c>
      <c r="C5" s="11" t="s">
        <v>135</v>
      </c>
      <c r="D5" s="11" t="s">
        <v>136</v>
      </c>
      <c r="E5" s="11" t="s">
        <v>11</v>
      </c>
      <c r="F5" s="11" t="s">
        <v>12</v>
      </c>
      <c r="G5" s="11" t="s">
        <v>13</v>
      </c>
      <c r="H5" s="11" t="s">
        <v>9</v>
      </c>
      <c r="I5" s="11" t="s">
        <v>137</v>
      </c>
      <c r="J5" s="5" t="s">
        <v>29</v>
      </c>
    </row>
    <row r="6" ht="55" customHeight="1" spans="1:10">
      <c r="A6" s="12" t="s">
        <v>138</v>
      </c>
      <c r="B6" s="25">
        <v>11595</v>
      </c>
      <c r="C6" s="26">
        <v>0.127</v>
      </c>
      <c r="D6" s="26">
        <v>0.089</v>
      </c>
      <c r="E6" s="27">
        <v>52.1</v>
      </c>
      <c r="F6" s="26">
        <v>0.083</v>
      </c>
      <c r="G6" s="26">
        <v>0.225</v>
      </c>
      <c r="H6" s="25">
        <v>39</v>
      </c>
      <c r="I6" s="29" t="s">
        <v>139</v>
      </c>
      <c r="J6" s="6" t="s">
        <v>140</v>
      </c>
    </row>
    <row r="7" ht="55" customHeight="1" spans="1:10">
      <c r="A7" s="12" t="s">
        <v>141</v>
      </c>
      <c r="B7" s="25">
        <v>923</v>
      </c>
      <c r="C7" s="26">
        <v>0.095</v>
      </c>
      <c r="D7" s="26">
        <v>0.107</v>
      </c>
      <c r="E7" s="27">
        <v>91.5</v>
      </c>
      <c r="F7" s="26">
        <v>0.091</v>
      </c>
      <c r="G7" s="26">
        <v>0.287</v>
      </c>
      <c r="H7" s="25">
        <v>10</v>
      </c>
      <c r="I7" s="29" t="s">
        <v>142</v>
      </c>
      <c r="J7" s="6" t="s">
        <v>143</v>
      </c>
    </row>
    <row r="8" ht="55" customHeight="1" spans="1:10">
      <c r="A8" s="12" t="s">
        <v>144</v>
      </c>
      <c r="B8" s="25">
        <v>885</v>
      </c>
      <c r="C8" s="26">
        <v>0.082</v>
      </c>
      <c r="D8" s="26">
        <v>0.068</v>
      </c>
      <c r="E8" s="27">
        <v>46.5</v>
      </c>
      <c r="F8" s="26">
        <v>0.063</v>
      </c>
      <c r="G8" s="26">
        <v>0.252</v>
      </c>
      <c r="H8" s="25">
        <v>14</v>
      </c>
      <c r="I8" s="29" t="s">
        <v>145</v>
      </c>
      <c r="J8" s="6" t="s">
        <v>146</v>
      </c>
    </row>
    <row r="9" ht="55" customHeight="1" spans="1:10">
      <c r="A9" s="12" t="s">
        <v>147</v>
      </c>
      <c r="B9" s="25">
        <v>297</v>
      </c>
      <c r="C9" s="26">
        <v>0.082</v>
      </c>
      <c r="D9" s="26">
        <v>0.066</v>
      </c>
      <c r="E9" s="27">
        <v>23.2</v>
      </c>
      <c r="F9" s="26">
        <v>0.042</v>
      </c>
      <c r="G9" s="26">
        <v>0.379</v>
      </c>
      <c r="H9" s="25">
        <v>1</v>
      </c>
      <c r="I9" s="29" t="s">
        <v>148</v>
      </c>
      <c r="J9" s="6" t="s">
        <v>149</v>
      </c>
    </row>
    <row r="10" ht="55" customHeight="1" spans="1:10">
      <c r="A10" s="12" t="s">
        <v>150</v>
      </c>
      <c r="B10" s="25">
        <v>631</v>
      </c>
      <c r="C10" s="26">
        <v>0.1</v>
      </c>
      <c r="D10" s="26">
        <v>0.111</v>
      </c>
      <c r="E10" s="27">
        <v>44.9</v>
      </c>
      <c r="F10" s="26">
        <v>0.043</v>
      </c>
      <c r="G10" s="26">
        <v>0.224</v>
      </c>
      <c r="H10" s="25">
        <v>4</v>
      </c>
      <c r="I10" s="29" t="s">
        <v>151</v>
      </c>
      <c r="J10" s="6" t="s">
        <v>152</v>
      </c>
    </row>
    <row r="11" ht="25" customHeight="1" spans="1:10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ht="25" customHeight="1" spans="1:10">
      <c r="A12" s="4"/>
      <c r="B12" s="4"/>
      <c r="C12" s="4"/>
      <c r="D12" s="4"/>
      <c r="E12" s="4"/>
      <c r="F12" s="4"/>
      <c r="G12" s="4"/>
      <c r="H12" s="4"/>
      <c r="I12" s="4"/>
      <c r="J12" s="4"/>
    </row>
    <row r="13" ht="25" customHeight="1" spans="1:10">
      <c r="A13" s="2" t="s">
        <v>153</v>
      </c>
      <c r="B13" s="2" t="s">
        <v>153</v>
      </c>
      <c r="C13" s="2" t="s">
        <v>153</v>
      </c>
      <c r="D13" s="2" t="s">
        <v>153</v>
      </c>
      <c r="E13" s="2" t="s">
        <v>153</v>
      </c>
      <c r="F13" s="2" t="s">
        <v>153</v>
      </c>
      <c r="G13" s="2" t="s">
        <v>153</v>
      </c>
      <c r="H13" s="2" t="s">
        <v>153</v>
      </c>
      <c r="I13" s="2" t="s">
        <v>153</v>
      </c>
      <c r="J13" s="2" t="s">
        <v>153</v>
      </c>
    </row>
    <row r="14" ht="42" customHeight="1" spans="1:10">
      <c r="A14" s="11" t="s">
        <v>133</v>
      </c>
      <c r="B14" s="11" t="s">
        <v>154</v>
      </c>
      <c r="C14" s="11" t="s">
        <v>155</v>
      </c>
      <c r="D14" s="11" t="s">
        <v>156</v>
      </c>
      <c r="E14" s="11" t="s">
        <v>157</v>
      </c>
      <c r="F14" s="28" t="s">
        <v>158</v>
      </c>
      <c r="G14" s="28" t="s">
        <v>158</v>
      </c>
      <c r="H14" s="28" t="s">
        <v>158</v>
      </c>
      <c r="I14" s="28" t="s">
        <v>158</v>
      </c>
      <c r="J14" s="28" t="s">
        <v>158</v>
      </c>
    </row>
    <row r="15" ht="25" customHeight="1" spans="1:10">
      <c r="A15" s="12" t="s">
        <v>138</v>
      </c>
      <c r="B15" s="21">
        <v>0.01</v>
      </c>
      <c r="C15" s="20">
        <v>118.8</v>
      </c>
      <c r="D15" s="21">
        <v>0.228</v>
      </c>
      <c r="E15" s="21">
        <v>0.204</v>
      </c>
      <c r="F15" s="3" t="s">
        <v>159</v>
      </c>
      <c r="G15" s="3" t="s">
        <v>159</v>
      </c>
      <c r="H15" s="3" t="s">
        <v>159</v>
      </c>
      <c r="I15" s="3" t="s">
        <v>159</v>
      </c>
      <c r="J15" s="3" t="s">
        <v>159</v>
      </c>
    </row>
    <row r="16" ht="25" customHeight="1" spans="1:10">
      <c r="A16" s="12" t="s">
        <v>141</v>
      </c>
      <c r="B16" s="21">
        <v>0.077</v>
      </c>
      <c r="C16" s="20">
        <v>98.2</v>
      </c>
      <c r="D16" s="21">
        <v>0.183</v>
      </c>
      <c r="E16" s="21">
        <v>0.3</v>
      </c>
      <c r="F16" s="3" t="s">
        <v>159</v>
      </c>
      <c r="G16" s="3" t="s">
        <v>159</v>
      </c>
      <c r="H16" s="3" t="s">
        <v>159</v>
      </c>
      <c r="I16" s="3" t="s">
        <v>159</v>
      </c>
      <c r="J16" s="3" t="s">
        <v>159</v>
      </c>
    </row>
    <row r="17" ht="25" customHeight="1" spans="1:10">
      <c r="A17" s="12" t="s">
        <v>144</v>
      </c>
      <c r="B17" s="21">
        <v>0.075</v>
      </c>
      <c r="C17" s="20">
        <v>52.8</v>
      </c>
      <c r="D17" s="21">
        <v>0.162</v>
      </c>
      <c r="E17" s="21">
        <v>0.177</v>
      </c>
      <c r="F17" s="3" t="s">
        <v>159</v>
      </c>
      <c r="G17" s="3" t="s">
        <v>159</v>
      </c>
      <c r="H17" s="3" t="s">
        <v>159</v>
      </c>
      <c r="I17" s="3" t="s">
        <v>159</v>
      </c>
      <c r="J17" s="3" t="s">
        <v>159</v>
      </c>
    </row>
    <row r="18" ht="25" customHeight="1" spans="1:10">
      <c r="A18" s="12" t="s">
        <v>147</v>
      </c>
      <c r="B18" s="21">
        <v>0.13</v>
      </c>
      <c r="C18" s="20">
        <v>9.2</v>
      </c>
      <c r="D18" s="21">
        <v>0</v>
      </c>
      <c r="E18" s="21">
        <v>0.571</v>
      </c>
      <c r="F18" s="3" t="s">
        <v>160</v>
      </c>
      <c r="G18" s="3" t="s">
        <v>160</v>
      </c>
      <c r="H18" s="3" t="s">
        <v>160</v>
      </c>
      <c r="I18" s="3" t="s">
        <v>160</v>
      </c>
      <c r="J18" s="3" t="s">
        <v>160</v>
      </c>
    </row>
    <row r="19" ht="25" customHeight="1" spans="1:10">
      <c r="A19" s="12" t="s">
        <v>150</v>
      </c>
      <c r="B19" s="21">
        <v>0.068</v>
      </c>
      <c r="C19" s="20">
        <v>63.6</v>
      </c>
      <c r="D19" s="21">
        <v>0.093</v>
      </c>
      <c r="E19" s="21">
        <v>0.229</v>
      </c>
      <c r="F19" s="3" t="s">
        <v>159</v>
      </c>
      <c r="G19" s="3" t="s">
        <v>159</v>
      </c>
      <c r="H19" s="3" t="s">
        <v>159</v>
      </c>
      <c r="I19" s="3" t="s">
        <v>159</v>
      </c>
      <c r="J19" s="3" t="s">
        <v>159</v>
      </c>
    </row>
    <row r="20" ht="25" customHeight="1" spans="1:10">
      <c r="A20" s="4"/>
      <c r="B20" s="4"/>
      <c r="C20" s="4"/>
      <c r="D20" s="4"/>
      <c r="E20" s="4"/>
      <c r="F20" s="4"/>
      <c r="G20" s="4"/>
      <c r="H20" s="4"/>
      <c r="I20" s="4"/>
      <c r="J20" s="4"/>
    </row>
    <row r="21" ht="25" customHeight="1" spans="1:10">
      <c r="A21" s="4"/>
      <c r="B21" s="4"/>
      <c r="C21" s="4"/>
      <c r="D21" s="4"/>
      <c r="E21" s="4"/>
      <c r="F21" s="4"/>
      <c r="G21" s="4"/>
      <c r="H21" s="4"/>
      <c r="I21" s="4"/>
      <c r="J21" s="4"/>
    </row>
    <row r="22" ht="25" customHeight="1" spans="1:10">
      <c r="A22" s="2" t="s">
        <v>161</v>
      </c>
      <c r="B22" s="2" t="s">
        <v>161</v>
      </c>
      <c r="C22" s="2" t="s">
        <v>161</v>
      </c>
      <c r="D22" s="2" t="s">
        <v>161</v>
      </c>
      <c r="E22" s="2" t="s">
        <v>161</v>
      </c>
      <c r="F22" s="2" t="s">
        <v>161</v>
      </c>
      <c r="G22" s="2" t="s">
        <v>161</v>
      </c>
      <c r="H22" s="2" t="s">
        <v>161</v>
      </c>
      <c r="I22" s="2" t="s">
        <v>161</v>
      </c>
      <c r="J22" s="2" t="s">
        <v>161</v>
      </c>
    </row>
    <row r="23" ht="25" customHeight="1" spans="1:10">
      <c r="A23" s="3" t="s">
        <v>162</v>
      </c>
      <c r="B23" s="3" t="s">
        <v>162</v>
      </c>
      <c r="C23" s="3" t="s">
        <v>162</v>
      </c>
      <c r="D23" s="3" t="s">
        <v>162</v>
      </c>
      <c r="E23" s="3" t="s">
        <v>162</v>
      </c>
      <c r="F23" s="3" t="s">
        <v>162</v>
      </c>
      <c r="G23" s="3" t="s">
        <v>162</v>
      </c>
      <c r="H23" s="3" t="s">
        <v>162</v>
      </c>
      <c r="I23" s="3" t="s">
        <v>162</v>
      </c>
      <c r="J23" s="3" t="s">
        <v>162</v>
      </c>
    </row>
    <row r="24" ht="25" customHeight="1" spans="1:10">
      <c r="A24" s="3" t="s">
        <v>162</v>
      </c>
      <c r="B24" s="3" t="s">
        <v>162</v>
      </c>
      <c r="C24" s="3" t="s">
        <v>162</v>
      </c>
      <c r="D24" s="3" t="s">
        <v>162</v>
      </c>
      <c r="E24" s="3" t="s">
        <v>162</v>
      </c>
      <c r="F24" s="3" t="s">
        <v>162</v>
      </c>
      <c r="G24" s="3" t="s">
        <v>162</v>
      </c>
      <c r="H24" s="3" t="s">
        <v>162</v>
      </c>
      <c r="I24" s="3" t="s">
        <v>162</v>
      </c>
      <c r="J24" s="3" t="s">
        <v>162</v>
      </c>
    </row>
    <row r="25" ht="25" customHeight="1" spans="1:10">
      <c r="A25" s="3" t="s">
        <v>163</v>
      </c>
      <c r="B25" s="3" t="s">
        <v>163</v>
      </c>
      <c r="C25" s="3" t="s">
        <v>163</v>
      </c>
      <c r="D25" s="3" t="s">
        <v>163</v>
      </c>
      <c r="E25" s="3" t="s">
        <v>163</v>
      </c>
      <c r="F25" s="3" t="s">
        <v>163</v>
      </c>
      <c r="G25" s="3" t="s">
        <v>163</v>
      </c>
      <c r="H25" s="3" t="s">
        <v>163</v>
      </c>
      <c r="I25" s="3" t="s">
        <v>163</v>
      </c>
      <c r="J25" s="3" t="s">
        <v>163</v>
      </c>
    </row>
    <row r="26" ht="25" customHeight="1" spans="1:10">
      <c r="A26" s="3" t="s">
        <v>163</v>
      </c>
      <c r="B26" s="3" t="s">
        <v>163</v>
      </c>
      <c r="C26" s="3" t="s">
        <v>163</v>
      </c>
      <c r="D26" s="3" t="s">
        <v>163</v>
      </c>
      <c r="E26" s="3" t="s">
        <v>163</v>
      </c>
      <c r="F26" s="3" t="s">
        <v>163</v>
      </c>
      <c r="G26" s="3" t="s">
        <v>163</v>
      </c>
      <c r="H26" s="3" t="s">
        <v>163</v>
      </c>
      <c r="I26" s="3" t="s">
        <v>163</v>
      </c>
      <c r="J26" s="3" t="s">
        <v>163</v>
      </c>
    </row>
    <row r="27" ht="25" customHeight="1" spans="1:10">
      <c r="A27" s="3" t="s">
        <v>164</v>
      </c>
      <c r="B27" s="3" t="s">
        <v>164</v>
      </c>
      <c r="C27" s="3" t="s">
        <v>164</v>
      </c>
      <c r="D27" s="3" t="s">
        <v>164</v>
      </c>
      <c r="E27" s="3" t="s">
        <v>164</v>
      </c>
      <c r="F27" s="3" t="s">
        <v>164</v>
      </c>
      <c r="G27" s="3" t="s">
        <v>164</v>
      </c>
      <c r="H27" s="3" t="s">
        <v>164</v>
      </c>
      <c r="I27" s="3" t="s">
        <v>164</v>
      </c>
      <c r="J27" s="3" t="s">
        <v>164</v>
      </c>
    </row>
    <row r="28" ht="25" customHeight="1" spans="1:10">
      <c r="A28" s="3" t="s">
        <v>164</v>
      </c>
      <c r="B28" s="3" t="s">
        <v>164</v>
      </c>
      <c r="C28" s="3" t="s">
        <v>164</v>
      </c>
      <c r="D28" s="3" t="s">
        <v>164</v>
      </c>
      <c r="E28" s="3" t="s">
        <v>164</v>
      </c>
      <c r="F28" s="3" t="s">
        <v>164</v>
      </c>
      <c r="G28" s="3" t="s">
        <v>164</v>
      </c>
      <c r="H28" s="3" t="s">
        <v>164</v>
      </c>
      <c r="I28" s="3" t="s">
        <v>164</v>
      </c>
      <c r="J28" s="3" t="s">
        <v>164</v>
      </c>
    </row>
    <row r="29" ht="25" customHeight="1" spans="1:10">
      <c r="A29" s="3" t="s">
        <v>165</v>
      </c>
      <c r="B29" s="3" t="s">
        <v>165</v>
      </c>
      <c r="C29" s="3" t="s">
        <v>165</v>
      </c>
      <c r="D29" s="3" t="s">
        <v>165</v>
      </c>
      <c r="E29" s="3" t="s">
        <v>165</v>
      </c>
      <c r="F29" s="3" t="s">
        <v>165</v>
      </c>
      <c r="G29" s="3" t="s">
        <v>165</v>
      </c>
      <c r="H29" s="3" t="s">
        <v>165</v>
      </c>
      <c r="I29" s="3" t="s">
        <v>165</v>
      </c>
      <c r="J29" s="3" t="s">
        <v>165</v>
      </c>
    </row>
    <row r="30" ht="25" customHeight="1" spans="1:10">
      <c r="A30" s="3" t="s">
        <v>165</v>
      </c>
      <c r="B30" s="3" t="s">
        <v>165</v>
      </c>
      <c r="C30" s="3" t="s">
        <v>165</v>
      </c>
      <c r="D30" s="3" t="s">
        <v>165</v>
      </c>
      <c r="E30" s="3" t="s">
        <v>165</v>
      </c>
      <c r="F30" s="3" t="s">
        <v>165</v>
      </c>
      <c r="G30" s="3" t="s">
        <v>165</v>
      </c>
      <c r="H30" s="3" t="s">
        <v>165</v>
      </c>
      <c r="I30" s="3" t="s">
        <v>165</v>
      </c>
      <c r="J30" s="3" t="s">
        <v>165</v>
      </c>
    </row>
    <row r="31" ht="25" customHeight="1" spans="1:10">
      <c r="A31" s="3" t="s">
        <v>166</v>
      </c>
      <c r="B31" s="3" t="s">
        <v>166</v>
      </c>
      <c r="C31" s="3" t="s">
        <v>166</v>
      </c>
      <c r="D31" s="3" t="s">
        <v>166</v>
      </c>
      <c r="E31" s="3" t="s">
        <v>166</v>
      </c>
      <c r="F31" s="3" t="s">
        <v>166</v>
      </c>
      <c r="G31" s="3" t="s">
        <v>166</v>
      </c>
      <c r="H31" s="3" t="s">
        <v>166</v>
      </c>
      <c r="I31" s="3" t="s">
        <v>166</v>
      </c>
      <c r="J31" s="3" t="s">
        <v>166</v>
      </c>
    </row>
    <row r="32" ht="25" customHeight="1" spans="1:10">
      <c r="A32" s="3" t="s">
        <v>166</v>
      </c>
      <c r="B32" s="3" t="s">
        <v>166</v>
      </c>
      <c r="C32" s="3" t="s">
        <v>166</v>
      </c>
      <c r="D32" s="3" t="s">
        <v>166</v>
      </c>
      <c r="E32" s="3" t="s">
        <v>166</v>
      </c>
      <c r="F32" s="3" t="s">
        <v>166</v>
      </c>
      <c r="G32" s="3" t="s">
        <v>166</v>
      </c>
      <c r="H32" s="3" t="s">
        <v>166</v>
      </c>
      <c r="I32" s="3" t="s">
        <v>166</v>
      </c>
      <c r="J32" s="3" t="s">
        <v>166</v>
      </c>
    </row>
    <row r="33" ht="25" customHeight="1" spans="1:10">
      <c r="A33" s="3" t="s">
        <v>167</v>
      </c>
      <c r="B33" s="3" t="s">
        <v>167</v>
      </c>
      <c r="C33" s="3" t="s">
        <v>167</v>
      </c>
      <c r="D33" s="3" t="s">
        <v>167</v>
      </c>
      <c r="E33" s="3" t="s">
        <v>167</v>
      </c>
      <c r="F33" s="3" t="s">
        <v>167</v>
      </c>
      <c r="G33" s="3" t="s">
        <v>167</v>
      </c>
      <c r="H33" s="3" t="s">
        <v>167</v>
      </c>
      <c r="I33" s="3" t="s">
        <v>167</v>
      </c>
      <c r="J33" s="3" t="s">
        <v>167</v>
      </c>
    </row>
    <row r="34" ht="25" customHeight="1" spans="1:10">
      <c r="A34" s="3" t="s">
        <v>167</v>
      </c>
      <c r="B34" s="3" t="s">
        <v>167</v>
      </c>
      <c r="C34" s="3" t="s">
        <v>167</v>
      </c>
      <c r="D34" s="3" t="s">
        <v>167</v>
      </c>
      <c r="E34" s="3" t="s">
        <v>167</v>
      </c>
      <c r="F34" s="3" t="s">
        <v>167</v>
      </c>
      <c r="G34" s="3" t="s">
        <v>167</v>
      </c>
      <c r="H34" s="3" t="s">
        <v>167</v>
      </c>
      <c r="I34" s="3" t="s">
        <v>167</v>
      </c>
      <c r="J34" s="3" t="s">
        <v>167</v>
      </c>
    </row>
    <row r="35" ht="25" customHeight="1" spans="1:10">
      <c r="A35" s="3" t="s">
        <v>168</v>
      </c>
      <c r="B35" s="3" t="s">
        <v>168</v>
      </c>
      <c r="C35" s="3" t="s">
        <v>168</v>
      </c>
      <c r="D35" s="3" t="s">
        <v>168</v>
      </c>
      <c r="E35" s="3" t="s">
        <v>168</v>
      </c>
      <c r="F35" s="3" t="s">
        <v>168</v>
      </c>
      <c r="G35" s="3" t="s">
        <v>168</v>
      </c>
      <c r="H35" s="3" t="s">
        <v>168</v>
      </c>
      <c r="I35" s="3" t="s">
        <v>168</v>
      </c>
      <c r="J35" s="3" t="s">
        <v>168</v>
      </c>
    </row>
    <row r="36" ht="25" customHeight="1" spans="1:10">
      <c r="A36" s="3" t="s">
        <v>168</v>
      </c>
      <c r="B36" s="3" t="s">
        <v>168</v>
      </c>
      <c r="C36" s="3" t="s">
        <v>168</v>
      </c>
      <c r="D36" s="3" t="s">
        <v>168</v>
      </c>
      <c r="E36" s="3" t="s">
        <v>168</v>
      </c>
      <c r="F36" s="3" t="s">
        <v>168</v>
      </c>
      <c r="G36" s="3" t="s">
        <v>168</v>
      </c>
      <c r="H36" s="3" t="s">
        <v>168</v>
      </c>
      <c r="I36" s="3" t="s">
        <v>168</v>
      </c>
      <c r="J36" s="3" t="s">
        <v>168</v>
      </c>
    </row>
    <row r="37" ht="25" customHeight="1" spans="1:10">
      <c r="A37" s="3" t="s">
        <v>169</v>
      </c>
      <c r="B37" s="3" t="s">
        <v>169</v>
      </c>
      <c r="C37" s="3" t="s">
        <v>169</v>
      </c>
      <c r="D37" s="3" t="s">
        <v>169</v>
      </c>
      <c r="E37" s="3" t="s">
        <v>169</v>
      </c>
      <c r="F37" s="3" t="s">
        <v>169</v>
      </c>
      <c r="G37" s="3" t="s">
        <v>169</v>
      </c>
      <c r="H37" s="3" t="s">
        <v>169</v>
      </c>
      <c r="I37" s="3" t="s">
        <v>169</v>
      </c>
      <c r="J37" s="3" t="s">
        <v>169</v>
      </c>
    </row>
    <row r="38" ht="25" customHeight="1" spans="1:10">
      <c r="A38" s="3" t="s">
        <v>169</v>
      </c>
      <c r="B38" s="3" t="s">
        <v>169</v>
      </c>
      <c r="C38" s="3" t="s">
        <v>169</v>
      </c>
      <c r="D38" s="3" t="s">
        <v>169</v>
      </c>
      <c r="E38" s="3" t="s">
        <v>169</v>
      </c>
      <c r="F38" s="3" t="s">
        <v>169</v>
      </c>
      <c r="G38" s="3" t="s">
        <v>169</v>
      </c>
      <c r="H38" s="3" t="s">
        <v>169</v>
      </c>
      <c r="I38" s="3" t="s">
        <v>169</v>
      </c>
      <c r="J38" s="3" t="s">
        <v>169</v>
      </c>
    </row>
    <row r="39" ht="25" customHeight="1" spans="1:10">
      <c r="A39" s="3" t="s">
        <v>170</v>
      </c>
      <c r="B39" s="3" t="s">
        <v>170</v>
      </c>
      <c r="C39" s="3" t="s">
        <v>170</v>
      </c>
      <c r="D39" s="3" t="s">
        <v>170</v>
      </c>
      <c r="E39" s="3" t="s">
        <v>170</v>
      </c>
      <c r="F39" s="3" t="s">
        <v>170</v>
      </c>
      <c r="G39" s="3" t="s">
        <v>170</v>
      </c>
      <c r="H39" s="3" t="s">
        <v>170</v>
      </c>
      <c r="I39" s="3" t="s">
        <v>170</v>
      </c>
      <c r="J39" s="3" t="s">
        <v>170</v>
      </c>
    </row>
    <row r="40" ht="25" customHeight="1" spans="1:10">
      <c r="A40" s="3" t="s">
        <v>170</v>
      </c>
      <c r="B40" s="3" t="s">
        <v>170</v>
      </c>
      <c r="C40" s="3" t="s">
        <v>170</v>
      </c>
      <c r="D40" s="3" t="s">
        <v>170</v>
      </c>
      <c r="E40" s="3" t="s">
        <v>170</v>
      </c>
      <c r="F40" s="3" t="s">
        <v>170</v>
      </c>
      <c r="G40" s="3" t="s">
        <v>170</v>
      </c>
      <c r="H40" s="3" t="s">
        <v>170</v>
      </c>
      <c r="I40" s="3" t="s">
        <v>170</v>
      </c>
      <c r="J40" s="3" t="s">
        <v>170</v>
      </c>
    </row>
    <row r="41" ht="25" customHeight="1" spans="1:10">
      <c r="A41" s="3" t="s">
        <v>171</v>
      </c>
      <c r="B41" s="3" t="s">
        <v>171</v>
      </c>
      <c r="C41" s="3" t="s">
        <v>171</v>
      </c>
      <c r="D41" s="3" t="s">
        <v>171</v>
      </c>
      <c r="E41" s="3" t="s">
        <v>171</v>
      </c>
      <c r="F41" s="3" t="s">
        <v>171</v>
      </c>
      <c r="G41" s="3" t="s">
        <v>171</v>
      </c>
      <c r="H41" s="3" t="s">
        <v>171</v>
      </c>
      <c r="I41" s="3" t="s">
        <v>171</v>
      </c>
      <c r="J41" s="3" t="s">
        <v>171</v>
      </c>
    </row>
    <row r="42" ht="25" customHeight="1" spans="1:10">
      <c r="A42" s="3" t="s">
        <v>171</v>
      </c>
      <c r="B42" s="3" t="s">
        <v>171</v>
      </c>
      <c r="C42" s="3" t="s">
        <v>171</v>
      </c>
      <c r="D42" s="3" t="s">
        <v>171</v>
      </c>
      <c r="E42" s="3" t="s">
        <v>171</v>
      </c>
      <c r="F42" s="3" t="s">
        <v>171</v>
      </c>
      <c r="G42" s="3" t="s">
        <v>171</v>
      </c>
      <c r="H42" s="3" t="s">
        <v>171</v>
      </c>
      <c r="I42" s="3" t="s">
        <v>171</v>
      </c>
      <c r="J42" s="3" t="s">
        <v>171</v>
      </c>
    </row>
    <row r="43" ht="25" customHeight="1" spans="1:10">
      <c r="A43" s="4"/>
      <c r="B43" s="4"/>
      <c r="C43" s="4"/>
      <c r="D43" s="4"/>
      <c r="E43" s="4"/>
      <c r="F43" s="4"/>
      <c r="G43" s="4"/>
      <c r="H43" s="4"/>
      <c r="I43" s="4"/>
      <c r="J43" s="4"/>
    </row>
    <row r="44" ht="25" customHeight="1" spans="1:10">
      <c r="A44" s="4"/>
      <c r="B44" s="4"/>
      <c r="C44" s="4"/>
      <c r="D44" s="4"/>
      <c r="E44" s="4"/>
      <c r="F44" s="4"/>
      <c r="G44" s="4"/>
      <c r="H44" s="4"/>
      <c r="I44" s="4"/>
      <c r="J44" s="4"/>
    </row>
  </sheetData>
  <mergeCells count="20">
    <mergeCell ref="A1:J1"/>
    <mergeCell ref="A13:J13"/>
    <mergeCell ref="F14:J14"/>
    <mergeCell ref="F15:J15"/>
    <mergeCell ref="F16:J16"/>
    <mergeCell ref="F17:J17"/>
    <mergeCell ref="F18:J18"/>
    <mergeCell ref="F19:J19"/>
    <mergeCell ref="A22:J22"/>
    <mergeCell ref="A2:J3"/>
    <mergeCell ref="A23:J24"/>
    <mergeCell ref="A25:J26"/>
    <mergeCell ref="A27:J28"/>
    <mergeCell ref="A29:J30"/>
    <mergeCell ref="A31:J32"/>
    <mergeCell ref="A33:J34"/>
    <mergeCell ref="A35:J36"/>
    <mergeCell ref="A37:J38"/>
    <mergeCell ref="A39:J40"/>
    <mergeCell ref="A41:J42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4"/>
  <sheetViews>
    <sheetView showGridLines="0" tabSelected="1" topLeftCell="A3" workbookViewId="0">
      <selection activeCell="I31" sqref="I31"/>
    </sheetView>
  </sheetViews>
  <sheetFormatPr defaultColWidth="9" defaultRowHeight="16.8"/>
  <cols>
    <col min="1" max="1" width="25" customWidth="1"/>
    <col min="2" max="2" width="17" customWidth="1"/>
    <col min="3" max="3" width="15" customWidth="1"/>
    <col min="4" max="4" width="12" customWidth="1"/>
    <col min="5" max="5" width="12.6176470588235" style="1" customWidth="1"/>
    <col min="6" max="6" width="27.0808823529412" customWidth="1"/>
    <col min="7" max="10" width="11" style="1" customWidth="1"/>
    <col min="11" max="11" width="16" style="1" customWidth="1"/>
    <col min="12" max="12" width="14" style="1" customWidth="1"/>
    <col min="13" max="13" width="23" style="1" customWidth="1"/>
    <col min="14" max="14" width="19" style="1" customWidth="1"/>
  </cols>
  <sheetData>
    <row r="1" ht="25" customHeight="1" spans="1:14">
      <c r="A1" s="2" t="s">
        <v>172</v>
      </c>
      <c r="B1" s="2" t="s">
        <v>172</v>
      </c>
      <c r="C1" s="2" t="s">
        <v>172</v>
      </c>
      <c r="D1" s="2" t="s">
        <v>172</v>
      </c>
      <c r="E1" s="16" t="s">
        <v>172</v>
      </c>
      <c r="F1" s="2" t="s">
        <v>172</v>
      </c>
      <c r="G1" s="16" t="s">
        <v>172</v>
      </c>
      <c r="H1" s="16" t="s">
        <v>172</v>
      </c>
      <c r="I1" s="16" t="s">
        <v>172</v>
      </c>
      <c r="J1" s="16" t="s">
        <v>172</v>
      </c>
      <c r="K1" s="16" t="s">
        <v>172</v>
      </c>
      <c r="L1" s="16" t="s">
        <v>172</v>
      </c>
      <c r="M1" s="16" t="s">
        <v>172</v>
      </c>
      <c r="N1" s="16" t="s">
        <v>172</v>
      </c>
    </row>
    <row r="2" ht="25" customHeight="1" spans="1:14">
      <c r="A2" s="3" t="s">
        <v>173</v>
      </c>
      <c r="B2" s="3" t="s">
        <v>173</v>
      </c>
      <c r="C2" s="3" t="s">
        <v>173</v>
      </c>
      <c r="D2" s="3" t="s">
        <v>173</v>
      </c>
      <c r="E2" s="17" t="s">
        <v>173</v>
      </c>
      <c r="F2" s="3" t="s">
        <v>173</v>
      </c>
      <c r="G2" s="17" t="s">
        <v>173</v>
      </c>
      <c r="H2" s="17" t="s">
        <v>173</v>
      </c>
      <c r="I2" s="17" t="s">
        <v>173</v>
      </c>
      <c r="J2" s="17" t="s">
        <v>173</v>
      </c>
      <c r="K2" s="17" t="s">
        <v>173</v>
      </c>
      <c r="L2" s="17" t="s">
        <v>173</v>
      </c>
      <c r="M2" s="17" t="s">
        <v>173</v>
      </c>
      <c r="N2" s="17" t="s">
        <v>173</v>
      </c>
    </row>
    <row r="3" ht="25" customHeight="1" spans="1:14">
      <c r="A3" s="3" t="s">
        <v>173</v>
      </c>
      <c r="B3" s="3" t="s">
        <v>173</v>
      </c>
      <c r="C3" s="3" t="s">
        <v>173</v>
      </c>
      <c r="D3" s="3" t="s">
        <v>173</v>
      </c>
      <c r="E3" s="17" t="s">
        <v>173</v>
      </c>
      <c r="F3" s="3" t="s">
        <v>173</v>
      </c>
      <c r="G3" s="17" t="s">
        <v>173</v>
      </c>
      <c r="H3" s="17" t="s">
        <v>173</v>
      </c>
      <c r="I3" s="17" t="s">
        <v>173</v>
      </c>
      <c r="J3" s="17" t="s">
        <v>173</v>
      </c>
      <c r="K3" s="17" t="s">
        <v>173</v>
      </c>
      <c r="L3" s="17" t="s">
        <v>173</v>
      </c>
      <c r="M3" s="17" t="s">
        <v>173</v>
      </c>
      <c r="N3" s="17" t="s">
        <v>173</v>
      </c>
    </row>
    <row r="4" ht="25" customHeight="1" spans="1:14">
      <c r="A4" s="4"/>
      <c r="B4" s="4"/>
      <c r="C4" s="4"/>
      <c r="D4" s="4"/>
      <c r="E4" s="12"/>
      <c r="F4" s="4"/>
      <c r="G4" s="12"/>
      <c r="H4" s="12"/>
      <c r="I4" s="12"/>
      <c r="J4" s="12"/>
      <c r="K4" s="12"/>
      <c r="L4" s="12"/>
      <c r="M4" s="12"/>
      <c r="N4" s="12"/>
    </row>
    <row r="5" ht="42" customHeight="1" spans="1:14">
      <c r="A5" s="5" t="s">
        <v>133</v>
      </c>
      <c r="B5" s="5" t="s">
        <v>174</v>
      </c>
      <c r="C5" s="5" t="s">
        <v>92</v>
      </c>
      <c r="D5" s="5" t="s">
        <v>8</v>
      </c>
      <c r="E5" s="11" t="s">
        <v>9</v>
      </c>
      <c r="F5" s="5" t="s">
        <v>10</v>
      </c>
      <c r="G5" s="11" t="s">
        <v>95</v>
      </c>
      <c r="H5" s="11" t="s">
        <v>96</v>
      </c>
      <c r="I5" s="11" t="s">
        <v>97</v>
      </c>
      <c r="J5" s="11" t="s">
        <v>98</v>
      </c>
      <c r="K5" s="11" t="s">
        <v>175</v>
      </c>
      <c r="L5" s="11" t="s">
        <v>176</v>
      </c>
      <c r="M5" s="11" t="s">
        <v>177</v>
      </c>
      <c r="N5" s="11" t="s">
        <v>99</v>
      </c>
    </row>
    <row r="6" ht="35" customHeight="1" spans="1:14">
      <c r="A6" s="6" t="s">
        <v>147</v>
      </c>
      <c r="B6" s="6" t="s">
        <v>178</v>
      </c>
      <c r="C6" s="7">
        <f>笔记数据!C6</f>
        <v>46269</v>
      </c>
      <c r="D6" s="8">
        <f>笔记数据!F6</f>
        <v>296</v>
      </c>
      <c r="E6" s="13">
        <f>笔记数据!K6</f>
        <v>1</v>
      </c>
      <c r="F6" s="14">
        <f t="shared" ref="F6:F19" si="0">IFERROR(E6/D6*1000,0)</f>
        <v>3.37837837837838</v>
      </c>
      <c r="G6" s="13">
        <f>笔记数据!H6</f>
        <v>7</v>
      </c>
      <c r="H6" s="13">
        <f>笔记数据!I6</f>
        <v>0</v>
      </c>
      <c r="I6" s="13">
        <f>笔记数据!J6</f>
        <v>10</v>
      </c>
      <c r="J6" s="13">
        <f>笔记数据!L6</f>
        <v>5</v>
      </c>
      <c r="K6" s="21">
        <f t="shared" ref="K6:K19" si="1">IFERROR((G6+H6+I6)/D6,0)</f>
        <v>0.0574324324324324</v>
      </c>
      <c r="L6" s="21">
        <f t="shared" ref="L6:L19" si="2">IFERROR(J6/D6,0)</f>
        <v>0.0168918918918919</v>
      </c>
      <c r="M6" s="20">
        <f t="shared" ref="M6:M19" si="3">IFERROR(I6/D6*1000,0)</f>
        <v>33.7837837837838</v>
      </c>
      <c r="N6" s="12">
        <f>笔记数据!M6</f>
        <v>23</v>
      </c>
    </row>
    <row r="7" ht="35" customHeight="1" spans="1:14">
      <c r="A7" s="6" t="s">
        <v>150</v>
      </c>
      <c r="B7" s="6" t="s">
        <v>179</v>
      </c>
      <c r="C7" s="7">
        <f>笔记数据!C7</f>
        <v>46267</v>
      </c>
      <c r="D7" s="8">
        <f>笔记数据!F7</f>
        <v>631</v>
      </c>
      <c r="E7" s="13">
        <f>笔记数据!K7</f>
        <v>4</v>
      </c>
      <c r="F7" s="14">
        <f t="shared" si="0"/>
        <v>6.3391442155309</v>
      </c>
      <c r="G7" s="13">
        <f>笔记数据!H7</f>
        <v>23</v>
      </c>
      <c r="H7" s="13">
        <f>笔记数据!I7</f>
        <v>3</v>
      </c>
      <c r="I7" s="13">
        <f>笔记数据!J7</f>
        <v>7</v>
      </c>
      <c r="J7" s="13">
        <f>笔记数据!L7</f>
        <v>8</v>
      </c>
      <c r="K7" s="21">
        <f t="shared" si="1"/>
        <v>0.05229793977813</v>
      </c>
      <c r="L7" s="21">
        <f t="shared" si="2"/>
        <v>0.0126782884310618</v>
      </c>
      <c r="M7" s="20">
        <f t="shared" si="3"/>
        <v>11.0935023771791</v>
      </c>
      <c r="N7" s="12">
        <f>笔记数据!M7</f>
        <v>44</v>
      </c>
    </row>
    <row r="8" ht="35" customHeight="1" spans="1:14">
      <c r="A8" s="6" t="s">
        <v>180</v>
      </c>
      <c r="B8" s="6" t="s">
        <v>180</v>
      </c>
      <c r="C8" s="7">
        <f>笔记数据!C8</f>
        <v>46267</v>
      </c>
      <c r="D8" s="8">
        <f>笔记数据!F8</f>
        <v>33</v>
      </c>
      <c r="E8" s="13">
        <f>笔记数据!K8</f>
        <v>0</v>
      </c>
      <c r="F8" s="14">
        <f t="shared" si="0"/>
        <v>0</v>
      </c>
      <c r="G8" s="13">
        <f>笔记数据!H8</f>
        <v>3</v>
      </c>
      <c r="H8" s="13">
        <f>笔记数据!I8</f>
        <v>0</v>
      </c>
      <c r="I8" s="13">
        <f>笔记数据!J8</f>
        <v>0</v>
      </c>
      <c r="J8" s="13">
        <f>笔记数据!L8</f>
        <v>0</v>
      </c>
      <c r="K8" s="21">
        <f t="shared" si="1"/>
        <v>0.0909090909090909</v>
      </c>
      <c r="L8" s="21">
        <f t="shared" si="2"/>
        <v>0</v>
      </c>
      <c r="M8" s="20">
        <f t="shared" si="3"/>
        <v>0</v>
      </c>
      <c r="N8" s="12">
        <f>笔记数据!M8</f>
        <v>29</v>
      </c>
    </row>
    <row r="9" ht="35" customHeight="1" spans="1:14">
      <c r="A9" s="6" t="s">
        <v>138</v>
      </c>
      <c r="B9" s="6" t="s">
        <v>179</v>
      </c>
      <c r="C9" s="7">
        <f>笔记数据!C9</f>
        <v>46265</v>
      </c>
      <c r="D9" s="8">
        <f>笔记数据!F9</f>
        <v>11594</v>
      </c>
      <c r="E9" s="13">
        <f>笔记数据!K9</f>
        <v>39</v>
      </c>
      <c r="F9" s="14">
        <f t="shared" si="0"/>
        <v>3.36380886665517</v>
      </c>
      <c r="G9" s="13">
        <f>笔记数据!H9</f>
        <v>151</v>
      </c>
      <c r="H9" s="13">
        <f>笔记数据!I9</f>
        <v>49</v>
      </c>
      <c r="I9" s="13">
        <f>笔记数据!J9</f>
        <v>98</v>
      </c>
      <c r="J9" s="13">
        <f>笔记数据!L9</f>
        <v>62</v>
      </c>
      <c r="K9" s="21">
        <f t="shared" si="1"/>
        <v>0.0257029498016215</v>
      </c>
      <c r="L9" s="21">
        <f t="shared" si="2"/>
        <v>0.0053475935828877</v>
      </c>
      <c r="M9" s="20">
        <f t="shared" si="3"/>
        <v>8.45264792133862</v>
      </c>
      <c r="N9" s="12">
        <f>笔记数据!M9</f>
        <v>52</v>
      </c>
    </row>
    <row r="10" ht="35" customHeight="1" spans="1:14">
      <c r="A10" s="6" t="s">
        <v>141</v>
      </c>
      <c r="B10" s="6" t="s">
        <v>179</v>
      </c>
      <c r="C10" s="7">
        <f>笔记数据!C10</f>
        <v>46262</v>
      </c>
      <c r="D10" s="8">
        <f>笔记数据!F10</f>
        <v>923</v>
      </c>
      <c r="E10" s="13">
        <f>笔记数据!K10</f>
        <v>10</v>
      </c>
      <c r="F10" s="14">
        <f t="shared" si="0"/>
        <v>10.8342361863489</v>
      </c>
      <c r="G10" s="13">
        <f>笔记数据!H10</f>
        <v>30</v>
      </c>
      <c r="H10" s="13">
        <f>笔记数据!I10</f>
        <v>5</v>
      </c>
      <c r="I10" s="13">
        <f>笔记数据!J10</f>
        <v>19</v>
      </c>
      <c r="J10" s="13">
        <f>笔记数据!L10</f>
        <v>12</v>
      </c>
      <c r="K10" s="21">
        <f t="shared" si="1"/>
        <v>0.0585048754062839</v>
      </c>
      <c r="L10" s="21">
        <f t="shared" si="2"/>
        <v>0.0130010834236186</v>
      </c>
      <c r="M10" s="20">
        <f t="shared" si="3"/>
        <v>20.5850487540628</v>
      </c>
      <c r="N10" s="12">
        <f>笔记数据!M10</f>
        <v>91</v>
      </c>
    </row>
    <row r="11" ht="35" customHeight="1" spans="1:14">
      <c r="A11" s="6" t="s">
        <v>144</v>
      </c>
      <c r="B11" s="6" t="s">
        <v>179</v>
      </c>
      <c r="C11" s="7">
        <f>笔记数据!C11</f>
        <v>46260</v>
      </c>
      <c r="D11" s="8">
        <f>笔记数据!F11</f>
        <v>885</v>
      </c>
      <c r="E11" s="13">
        <f>笔记数据!K11</f>
        <v>14</v>
      </c>
      <c r="F11" s="14">
        <f t="shared" si="0"/>
        <v>15.819209039548</v>
      </c>
      <c r="G11" s="13">
        <f>笔记数据!H11</f>
        <v>26</v>
      </c>
      <c r="H11" s="13">
        <f>笔记数据!I11</f>
        <v>3</v>
      </c>
      <c r="I11" s="13">
        <f>笔记数据!J11</f>
        <v>18</v>
      </c>
      <c r="J11" s="13">
        <f>笔记数据!L11</f>
        <v>9</v>
      </c>
      <c r="K11" s="21">
        <f t="shared" si="1"/>
        <v>0.0531073446327684</v>
      </c>
      <c r="L11" s="21">
        <f t="shared" si="2"/>
        <v>0.0101694915254237</v>
      </c>
      <c r="M11" s="20">
        <f t="shared" si="3"/>
        <v>20.3389830508475</v>
      </c>
      <c r="N11" s="12">
        <f>笔记数据!M11</f>
        <v>46</v>
      </c>
    </row>
    <row r="12" ht="35" customHeight="1" spans="1:14">
      <c r="A12" s="6" t="s">
        <v>181</v>
      </c>
      <c r="B12" s="6" t="s">
        <v>182</v>
      </c>
      <c r="C12" s="7">
        <f>笔记数据!C12</f>
        <v>46258</v>
      </c>
      <c r="D12" s="8">
        <f>笔记数据!F12</f>
        <v>441</v>
      </c>
      <c r="E12" s="13">
        <f>笔记数据!K12</f>
        <v>9</v>
      </c>
      <c r="F12" s="14">
        <f t="shared" si="0"/>
        <v>20.4081632653061</v>
      </c>
      <c r="G12" s="13">
        <f>笔记数据!H12</f>
        <v>13</v>
      </c>
      <c r="H12" s="13">
        <f>笔记数据!I12</f>
        <v>0</v>
      </c>
      <c r="I12" s="13">
        <f>笔记数据!J12</f>
        <v>15</v>
      </c>
      <c r="J12" s="13">
        <f>笔记数据!L12</f>
        <v>3</v>
      </c>
      <c r="K12" s="21">
        <f t="shared" si="1"/>
        <v>0.0634920634920635</v>
      </c>
      <c r="L12" s="21">
        <f t="shared" si="2"/>
        <v>0.00680272108843537</v>
      </c>
      <c r="M12" s="20">
        <f t="shared" si="3"/>
        <v>34.0136054421769</v>
      </c>
      <c r="N12" s="12">
        <f>笔记数据!M12</f>
        <v>36</v>
      </c>
    </row>
    <row r="13" ht="35" customHeight="1" spans="1:14">
      <c r="A13" s="6" t="s">
        <v>183</v>
      </c>
      <c r="B13" s="6" t="s">
        <v>184</v>
      </c>
      <c r="C13" s="7">
        <f>笔记数据!C13</f>
        <v>46254</v>
      </c>
      <c r="D13" s="8">
        <f>笔记数据!F13</f>
        <v>178</v>
      </c>
      <c r="E13" s="13">
        <f>笔记数据!K13</f>
        <v>0</v>
      </c>
      <c r="F13" s="14">
        <f t="shared" si="0"/>
        <v>0</v>
      </c>
      <c r="G13" s="13">
        <f>笔记数据!H13</f>
        <v>4</v>
      </c>
      <c r="H13" s="13">
        <f>笔记数据!I13</f>
        <v>0</v>
      </c>
      <c r="I13" s="13">
        <f>笔记数据!J13</f>
        <v>1</v>
      </c>
      <c r="J13" s="13">
        <f>笔记数据!L13</f>
        <v>1</v>
      </c>
      <c r="K13" s="21">
        <f t="shared" si="1"/>
        <v>0.0280898876404494</v>
      </c>
      <c r="L13" s="21">
        <f t="shared" si="2"/>
        <v>0.00561797752808989</v>
      </c>
      <c r="M13" s="20">
        <f t="shared" si="3"/>
        <v>5.61797752808989</v>
      </c>
      <c r="N13" s="12">
        <f>笔记数据!M13</f>
        <v>58</v>
      </c>
    </row>
    <row r="14" ht="35" customHeight="1" spans="1:14">
      <c r="A14" s="6" t="s">
        <v>185</v>
      </c>
      <c r="B14" s="6" t="s">
        <v>182</v>
      </c>
      <c r="C14" s="7">
        <f>笔记数据!C14</f>
        <v>46252</v>
      </c>
      <c r="D14" s="8">
        <f>笔记数据!F14</f>
        <v>425</v>
      </c>
      <c r="E14" s="13">
        <f>笔记数据!K14</f>
        <v>1</v>
      </c>
      <c r="F14" s="14">
        <f t="shared" si="0"/>
        <v>2.35294117647059</v>
      </c>
      <c r="G14" s="13">
        <f>笔记数据!H14</f>
        <v>18</v>
      </c>
      <c r="H14" s="13">
        <f>笔记数据!I14</f>
        <v>2</v>
      </c>
      <c r="I14" s="13">
        <f>笔记数据!J14</f>
        <v>10</v>
      </c>
      <c r="J14" s="13">
        <f>笔记数据!L14</f>
        <v>2</v>
      </c>
      <c r="K14" s="21">
        <f t="shared" si="1"/>
        <v>0.0705882352941176</v>
      </c>
      <c r="L14" s="21">
        <f t="shared" si="2"/>
        <v>0.00470588235294118</v>
      </c>
      <c r="M14" s="20">
        <f t="shared" si="3"/>
        <v>23.5294117647059</v>
      </c>
      <c r="N14" s="12">
        <f>笔记数据!M14</f>
        <v>36</v>
      </c>
    </row>
    <row r="15" ht="35" customHeight="1" spans="1:14">
      <c r="A15" s="6" t="s">
        <v>186</v>
      </c>
      <c r="B15" s="6" t="s">
        <v>182</v>
      </c>
      <c r="C15" s="7">
        <f>笔记数据!C15</f>
        <v>46247</v>
      </c>
      <c r="D15" s="8">
        <f>笔记数据!F15</f>
        <v>710</v>
      </c>
      <c r="E15" s="13">
        <f>笔记数据!K15</f>
        <v>1</v>
      </c>
      <c r="F15" s="14">
        <f t="shared" si="0"/>
        <v>1.40845070422535</v>
      </c>
      <c r="G15" s="13">
        <f>笔记数据!H15</f>
        <v>16</v>
      </c>
      <c r="H15" s="13">
        <f>笔记数据!I15</f>
        <v>3</v>
      </c>
      <c r="I15" s="13">
        <f>笔记数据!J15</f>
        <v>8</v>
      </c>
      <c r="J15" s="13">
        <f>笔记数据!L15</f>
        <v>1</v>
      </c>
      <c r="K15" s="21">
        <f t="shared" si="1"/>
        <v>0.0380281690140845</v>
      </c>
      <c r="L15" s="21">
        <f t="shared" si="2"/>
        <v>0.00140845070422535</v>
      </c>
      <c r="M15" s="20">
        <f t="shared" si="3"/>
        <v>11.2676056338028</v>
      </c>
      <c r="N15" s="12">
        <f>笔记数据!M15</f>
        <v>18</v>
      </c>
    </row>
    <row r="16" ht="35" customHeight="1" spans="1:14">
      <c r="A16" s="6" t="s">
        <v>187</v>
      </c>
      <c r="B16" s="6" t="s">
        <v>182</v>
      </c>
      <c r="C16" s="7">
        <f>笔记数据!C16</f>
        <v>46245</v>
      </c>
      <c r="D16" s="8">
        <f>笔记数据!F16</f>
        <v>618</v>
      </c>
      <c r="E16" s="13">
        <f>笔记数据!K16</f>
        <v>7</v>
      </c>
      <c r="F16" s="14">
        <f t="shared" si="0"/>
        <v>11.3268608414239</v>
      </c>
      <c r="G16" s="13">
        <f>笔记数据!H16</f>
        <v>24</v>
      </c>
      <c r="H16" s="13">
        <f>笔记数据!I16</f>
        <v>8</v>
      </c>
      <c r="I16" s="13">
        <f>笔记数据!J16</f>
        <v>11</v>
      </c>
      <c r="J16" s="13">
        <f>笔记数据!L16</f>
        <v>3</v>
      </c>
      <c r="K16" s="21">
        <f t="shared" si="1"/>
        <v>0.06957928802589</v>
      </c>
      <c r="L16" s="21">
        <f t="shared" si="2"/>
        <v>0.00485436893203883</v>
      </c>
      <c r="M16" s="20">
        <f t="shared" si="3"/>
        <v>17.7993527508091</v>
      </c>
      <c r="N16" s="12">
        <f>笔记数据!M16</f>
        <v>35</v>
      </c>
    </row>
    <row r="17" ht="35" customHeight="1" spans="1:14">
      <c r="A17" s="6" t="s">
        <v>188</v>
      </c>
      <c r="B17" s="6" t="s">
        <v>189</v>
      </c>
      <c r="C17" s="7">
        <f>笔记数据!C17</f>
        <v>46241</v>
      </c>
      <c r="D17" s="8">
        <f>笔记数据!F17</f>
        <v>129</v>
      </c>
      <c r="E17" s="13">
        <f>笔记数据!K17</f>
        <v>0</v>
      </c>
      <c r="F17" s="14">
        <f t="shared" si="0"/>
        <v>0</v>
      </c>
      <c r="G17" s="13">
        <f>笔记数据!H17</f>
        <v>5</v>
      </c>
      <c r="H17" s="13">
        <f>笔记数据!I17</f>
        <v>2</v>
      </c>
      <c r="I17" s="13">
        <f>笔记数据!J17</f>
        <v>2</v>
      </c>
      <c r="J17" s="13">
        <f>笔记数据!L17</f>
        <v>2</v>
      </c>
      <c r="K17" s="21">
        <f t="shared" si="1"/>
        <v>0.0697674418604651</v>
      </c>
      <c r="L17" s="21">
        <f t="shared" si="2"/>
        <v>0.0155038759689922</v>
      </c>
      <c r="M17" s="20">
        <f t="shared" si="3"/>
        <v>15.5038759689922</v>
      </c>
      <c r="N17" s="12">
        <f>笔记数据!M17</f>
        <v>2</v>
      </c>
    </row>
    <row r="18" ht="35" customHeight="1" spans="1:14">
      <c r="A18" s="6" t="s">
        <v>190</v>
      </c>
      <c r="B18" s="6" t="s">
        <v>191</v>
      </c>
      <c r="C18" s="7">
        <f>笔记数据!C18</f>
        <v>46240</v>
      </c>
      <c r="D18" s="8">
        <f>笔记数据!F18</f>
        <v>214</v>
      </c>
      <c r="E18" s="13">
        <f>笔记数据!K18</f>
        <v>0</v>
      </c>
      <c r="F18" s="14">
        <f t="shared" si="0"/>
        <v>0</v>
      </c>
      <c r="G18" s="13">
        <f>笔记数据!H18</f>
        <v>8</v>
      </c>
      <c r="H18" s="13">
        <f>笔记数据!I18</f>
        <v>0</v>
      </c>
      <c r="I18" s="13">
        <f>笔记数据!J18</f>
        <v>1</v>
      </c>
      <c r="J18" s="13">
        <f>笔记数据!L18</f>
        <v>0</v>
      </c>
      <c r="K18" s="21">
        <f t="shared" si="1"/>
        <v>0.0420560747663551</v>
      </c>
      <c r="L18" s="21">
        <f t="shared" si="2"/>
        <v>0</v>
      </c>
      <c r="M18" s="20">
        <f t="shared" si="3"/>
        <v>4.67289719626168</v>
      </c>
      <c r="N18" s="12">
        <f>笔记数据!M18</f>
        <v>11</v>
      </c>
    </row>
    <row r="19" ht="35" customHeight="1" spans="1:14">
      <c r="A19" s="6" t="s">
        <v>192</v>
      </c>
      <c r="B19" s="6" t="s">
        <v>182</v>
      </c>
      <c r="C19" s="7">
        <f>笔记数据!C19</f>
        <v>46239</v>
      </c>
      <c r="D19" s="8">
        <f>笔记数据!F19</f>
        <v>574</v>
      </c>
      <c r="E19" s="13">
        <f>笔记数据!K19</f>
        <v>3</v>
      </c>
      <c r="F19" s="14">
        <f t="shared" si="0"/>
        <v>5.22648083623693</v>
      </c>
      <c r="G19" s="13">
        <f>笔记数据!H19</f>
        <v>13</v>
      </c>
      <c r="H19" s="13">
        <f>笔记数据!I19</f>
        <v>7</v>
      </c>
      <c r="I19" s="13">
        <f>笔记数据!J19</f>
        <v>5</v>
      </c>
      <c r="J19" s="13">
        <f>笔记数据!L19</f>
        <v>3</v>
      </c>
      <c r="K19" s="21">
        <f t="shared" si="1"/>
        <v>0.0435540069686411</v>
      </c>
      <c r="L19" s="21">
        <f t="shared" si="2"/>
        <v>0.00522648083623693</v>
      </c>
      <c r="M19" s="20">
        <f t="shared" si="3"/>
        <v>8.71080139372822</v>
      </c>
      <c r="N19" s="12">
        <f>笔记数据!M19</f>
        <v>24</v>
      </c>
    </row>
    <row r="20" ht="25" customHeight="1" spans="1:14">
      <c r="A20" s="4"/>
      <c r="B20" s="4"/>
      <c r="C20" s="4"/>
      <c r="D20" s="8"/>
      <c r="E20" s="13"/>
      <c r="F20" s="14"/>
      <c r="G20" s="13"/>
      <c r="H20" s="13"/>
      <c r="I20" s="13"/>
      <c r="J20" s="13"/>
      <c r="K20" s="21"/>
      <c r="L20" s="21"/>
      <c r="M20" s="20"/>
      <c r="N20" s="12"/>
    </row>
    <row r="21" ht="25" customHeight="1" spans="1:14">
      <c r="A21" s="9" t="s">
        <v>193</v>
      </c>
      <c r="B21" s="9"/>
      <c r="C21" s="9"/>
      <c r="D21" s="10">
        <f>SUM(D6:D19)</f>
        <v>17651</v>
      </c>
      <c r="E21" s="18">
        <f>SUM(E6:E19)</f>
        <v>89</v>
      </c>
      <c r="F21" s="19">
        <f>IFERROR(E21/D21*1000,0)</f>
        <v>5.04220724038298</v>
      </c>
      <c r="G21" s="18">
        <f>SUM(G6:G19)</f>
        <v>341</v>
      </c>
      <c r="H21" s="18">
        <f>SUM(H6:H19)</f>
        <v>82</v>
      </c>
      <c r="I21" s="18">
        <f>SUM(I6:I19)</f>
        <v>205</v>
      </c>
      <c r="J21" s="18">
        <f>SUM(J6:J19)</f>
        <v>111</v>
      </c>
      <c r="K21" s="22">
        <f>IFERROR((G21+H21+I21)/D21,0)</f>
        <v>0.0355787207523653</v>
      </c>
      <c r="L21" s="22">
        <f>IFERROR(J21/D21,0)</f>
        <v>0.0062885955469945</v>
      </c>
      <c r="M21" s="23">
        <f>IFERROR(I21/D21*1000,0)</f>
        <v>11.6140728570619</v>
      </c>
      <c r="N21" s="24"/>
    </row>
    <row r="22" ht="25" customHeight="1" spans="1:14">
      <c r="A22" s="4"/>
      <c r="B22" s="4"/>
      <c r="C22" s="4"/>
      <c r="D22" s="4"/>
      <c r="E22" s="12"/>
      <c r="F22" s="4"/>
      <c r="G22" s="12"/>
      <c r="H22" s="12"/>
      <c r="I22" s="12"/>
      <c r="J22" s="12"/>
      <c r="K22" s="12"/>
      <c r="L22" s="12"/>
      <c r="M22" s="12"/>
      <c r="N22" s="12"/>
    </row>
    <row r="23" ht="25" customHeight="1" spans="1:14">
      <c r="A23" s="4"/>
      <c r="B23" s="4"/>
      <c r="C23" s="4"/>
      <c r="D23" s="4"/>
      <c r="E23" s="12"/>
      <c r="F23" s="4"/>
      <c r="G23" s="12"/>
      <c r="H23" s="12"/>
      <c r="I23" s="12"/>
      <c r="J23" s="12"/>
      <c r="K23" s="12"/>
      <c r="L23" s="12"/>
      <c r="M23" s="12"/>
      <c r="N23" s="12"/>
    </row>
    <row r="24" ht="25" customHeight="1" spans="1:14">
      <c r="A24" s="2" t="s">
        <v>194</v>
      </c>
      <c r="B24" s="2" t="s">
        <v>194</v>
      </c>
      <c r="C24" s="2" t="s">
        <v>194</v>
      </c>
      <c r="D24" s="2" t="s">
        <v>194</v>
      </c>
      <c r="E24" s="16" t="s">
        <v>194</v>
      </c>
      <c r="F24" s="2" t="s">
        <v>194</v>
      </c>
      <c r="G24" s="16" t="s">
        <v>194</v>
      </c>
      <c r="H24" s="16" t="s">
        <v>194</v>
      </c>
      <c r="I24" s="16" t="s">
        <v>194</v>
      </c>
      <c r="J24" s="16" t="s">
        <v>194</v>
      </c>
      <c r="K24" s="16" t="s">
        <v>194</v>
      </c>
      <c r="L24" s="16" t="s">
        <v>194</v>
      </c>
      <c r="M24" s="16" t="s">
        <v>194</v>
      </c>
      <c r="N24" s="16" t="s">
        <v>194</v>
      </c>
    </row>
    <row r="25" ht="42" customHeight="1" spans="1:14">
      <c r="A25" s="11" t="s">
        <v>195</v>
      </c>
      <c r="B25" s="11" t="s">
        <v>196</v>
      </c>
      <c r="C25" s="11" t="s">
        <v>8</v>
      </c>
      <c r="D25" s="11" t="s">
        <v>9</v>
      </c>
      <c r="E25" s="11" t="s">
        <v>10</v>
      </c>
      <c r="F25" s="11" t="s">
        <v>197</v>
      </c>
      <c r="G25" s="11" t="s">
        <v>198</v>
      </c>
      <c r="H25" s="12"/>
      <c r="I25" s="12"/>
      <c r="J25" s="12"/>
      <c r="K25" s="12"/>
      <c r="L25" s="12"/>
      <c r="M25" s="12"/>
      <c r="N25" s="12"/>
    </row>
    <row r="26" ht="25" customHeight="1" spans="1:14">
      <c r="A26" s="12" t="s">
        <v>179</v>
      </c>
      <c r="B26" s="13">
        <f t="shared" ref="B26:B32" si="4">COUNTIF($B$6:$B$19,A26)</f>
        <v>4</v>
      </c>
      <c r="C26" s="13">
        <f t="shared" ref="C26:C32" si="5">SUMIF($B$6:$B$19,A26,$D$6:$D$19)</f>
        <v>14033</v>
      </c>
      <c r="D26" s="13">
        <f t="shared" ref="D26:D32" si="6">SUMIF($B$6:$B$19,A26,$E$6:$E$19)</f>
        <v>67</v>
      </c>
      <c r="E26" s="20">
        <f t="shared" ref="E26:E32" si="7">IFERROR(D26/C26*1000,0)</f>
        <v>4.77446020095489</v>
      </c>
      <c r="F26" s="21">
        <f t="shared" ref="F26:F32" si="8">IFERROR(C26/$D$21,0)</f>
        <v>0.795025777576341</v>
      </c>
      <c r="G26" s="21">
        <f t="shared" ref="G26:G32" si="9">IFERROR(D26/$E$21,0)</f>
        <v>0.752808988764045</v>
      </c>
      <c r="H26" s="12"/>
      <c r="I26" s="12"/>
      <c r="J26" s="12"/>
      <c r="K26" s="12"/>
      <c r="L26" s="12"/>
      <c r="M26" s="12"/>
      <c r="N26" s="12"/>
    </row>
    <row r="27" ht="25" customHeight="1" spans="1:14">
      <c r="A27" s="12" t="s">
        <v>182</v>
      </c>
      <c r="B27" s="13">
        <f t="shared" si="4"/>
        <v>5</v>
      </c>
      <c r="C27" s="13">
        <f t="shared" si="5"/>
        <v>2768</v>
      </c>
      <c r="D27" s="13">
        <f t="shared" si="6"/>
        <v>21</v>
      </c>
      <c r="E27" s="20">
        <f t="shared" si="7"/>
        <v>7.58670520231214</v>
      </c>
      <c r="F27" s="21">
        <f t="shared" si="8"/>
        <v>0.156818310577304</v>
      </c>
      <c r="G27" s="21">
        <f t="shared" si="9"/>
        <v>0.235955056179775</v>
      </c>
      <c r="H27" s="12"/>
      <c r="I27" s="12"/>
      <c r="J27" s="12"/>
      <c r="K27" s="12"/>
      <c r="L27" s="12"/>
      <c r="M27" s="12"/>
      <c r="N27" s="12"/>
    </row>
    <row r="28" ht="25" customHeight="1" spans="1:14">
      <c r="A28" s="12" t="s">
        <v>178</v>
      </c>
      <c r="B28" s="13">
        <f t="shared" si="4"/>
        <v>1</v>
      </c>
      <c r="C28" s="13">
        <f t="shared" si="5"/>
        <v>296</v>
      </c>
      <c r="D28" s="13">
        <f t="shared" si="6"/>
        <v>1</v>
      </c>
      <c r="E28" s="20">
        <f t="shared" si="7"/>
        <v>3.37837837837838</v>
      </c>
      <c r="F28" s="21">
        <f t="shared" si="8"/>
        <v>0.0167695881253187</v>
      </c>
      <c r="G28" s="21">
        <f t="shared" si="9"/>
        <v>0.0112359550561798</v>
      </c>
      <c r="H28" s="12"/>
      <c r="I28" s="12"/>
      <c r="J28" s="12"/>
      <c r="K28" s="12"/>
      <c r="L28" s="12"/>
      <c r="M28" s="12"/>
      <c r="N28" s="12"/>
    </row>
    <row r="29" ht="25" customHeight="1" spans="1:14">
      <c r="A29" s="12" t="s">
        <v>184</v>
      </c>
      <c r="B29" s="13">
        <f t="shared" si="4"/>
        <v>1</v>
      </c>
      <c r="C29" s="13">
        <f t="shared" si="5"/>
        <v>178</v>
      </c>
      <c r="D29" s="13">
        <f t="shared" si="6"/>
        <v>0</v>
      </c>
      <c r="E29" s="20">
        <f t="shared" si="7"/>
        <v>0</v>
      </c>
      <c r="F29" s="21">
        <f t="shared" si="8"/>
        <v>0.010084414480766</v>
      </c>
      <c r="G29" s="21">
        <f t="shared" si="9"/>
        <v>0</v>
      </c>
      <c r="H29" s="12"/>
      <c r="I29" s="12"/>
      <c r="J29" s="12"/>
      <c r="K29" s="12"/>
      <c r="L29" s="12"/>
      <c r="M29" s="12"/>
      <c r="N29" s="12"/>
    </row>
    <row r="30" ht="25" customHeight="1" spans="1:14">
      <c r="A30" s="12" t="s">
        <v>191</v>
      </c>
      <c r="B30" s="13">
        <f t="shared" si="4"/>
        <v>1</v>
      </c>
      <c r="C30" s="13">
        <f t="shared" si="5"/>
        <v>214</v>
      </c>
      <c r="D30" s="13">
        <f t="shared" si="6"/>
        <v>0</v>
      </c>
      <c r="E30" s="20">
        <f t="shared" si="7"/>
        <v>0</v>
      </c>
      <c r="F30" s="21">
        <f t="shared" si="8"/>
        <v>0.0121239589824939</v>
      </c>
      <c r="G30" s="21">
        <f t="shared" si="9"/>
        <v>0</v>
      </c>
      <c r="H30" s="12"/>
      <c r="I30" s="12"/>
      <c r="J30" s="12"/>
      <c r="K30" s="12"/>
      <c r="L30" s="12"/>
      <c r="M30" s="12"/>
      <c r="N30" s="12"/>
    </row>
    <row r="31" ht="25" customHeight="1" spans="1:14">
      <c r="A31" s="12" t="s">
        <v>180</v>
      </c>
      <c r="B31" s="13">
        <f t="shared" si="4"/>
        <v>1</v>
      </c>
      <c r="C31" s="13">
        <f t="shared" si="5"/>
        <v>33</v>
      </c>
      <c r="D31" s="13">
        <f t="shared" si="6"/>
        <v>0</v>
      </c>
      <c r="E31" s="20">
        <f t="shared" si="7"/>
        <v>0</v>
      </c>
      <c r="F31" s="21">
        <f t="shared" si="8"/>
        <v>0.00186958245991729</v>
      </c>
      <c r="G31" s="21">
        <f t="shared" si="9"/>
        <v>0</v>
      </c>
      <c r="H31" s="12"/>
      <c r="I31" s="12"/>
      <c r="J31" s="12"/>
      <c r="K31" s="12"/>
      <c r="L31" s="12"/>
      <c r="M31" s="12"/>
      <c r="N31" s="12"/>
    </row>
    <row r="32" ht="25" customHeight="1" spans="1:14">
      <c r="A32" s="12" t="s">
        <v>189</v>
      </c>
      <c r="B32" s="13">
        <f t="shared" si="4"/>
        <v>1</v>
      </c>
      <c r="C32" s="13">
        <f t="shared" si="5"/>
        <v>129</v>
      </c>
      <c r="D32" s="13">
        <f t="shared" si="6"/>
        <v>0</v>
      </c>
      <c r="E32" s="20">
        <f t="shared" si="7"/>
        <v>0</v>
      </c>
      <c r="F32" s="21">
        <f t="shared" si="8"/>
        <v>0.00730836779785848</v>
      </c>
      <c r="G32" s="21">
        <f t="shared" si="9"/>
        <v>0</v>
      </c>
      <c r="H32" s="12"/>
      <c r="I32" s="12"/>
      <c r="J32" s="12"/>
      <c r="K32" s="12"/>
      <c r="L32" s="12"/>
      <c r="M32" s="12"/>
      <c r="N32" s="12"/>
    </row>
    <row r="33" ht="25" customHeight="1" spans="1:14">
      <c r="A33" s="4"/>
      <c r="B33" s="4"/>
      <c r="C33" s="4"/>
      <c r="D33" s="4"/>
      <c r="E33" s="12"/>
      <c r="F33" s="4"/>
      <c r="G33" s="12"/>
      <c r="H33" s="12"/>
      <c r="I33" s="12"/>
      <c r="J33" s="12"/>
      <c r="K33" s="12"/>
      <c r="L33" s="12"/>
      <c r="M33" s="12"/>
      <c r="N33" s="12"/>
    </row>
    <row r="34" ht="25" customHeight="1" spans="1:14">
      <c r="A34" s="4"/>
      <c r="B34" s="4"/>
      <c r="C34" s="4"/>
      <c r="D34" s="4"/>
      <c r="E34" s="12"/>
      <c r="F34" s="4"/>
      <c r="G34" s="12"/>
      <c r="H34" s="12"/>
      <c r="I34" s="12"/>
      <c r="J34" s="12"/>
      <c r="K34" s="12"/>
      <c r="L34" s="12"/>
      <c r="M34" s="12"/>
      <c r="N34" s="12"/>
    </row>
    <row r="35" ht="25" customHeight="1" spans="1:14">
      <c r="A35" s="4"/>
      <c r="B35" s="4"/>
      <c r="C35" s="4"/>
      <c r="D35" s="4"/>
      <c r="E35" s="12"/>
      <c r="F35" s="4"/>
      <c r="G35" s="12"/>
      <c r="H35" s="12"/>
      <c r="I35" s="12"/>
      <c r="J35" s="12"/>
      <c r="K35" s="12"/>
      <c r="L35" s="12"/>
      <c r="M35" s="12"/>
      <c r="N35" s="12"/>
    </row>
    <row r="36" ht="25" customHeight="1" spans="1:14">
      <c r="A36" s="2" t="s">
        <v>199</v>
      </c>
      <c r="B36" s="2" t="s">
        <v>199</v>
      </c>
      <c r="C36" s="2" t="s">
        <v>199</v>
      </c>
      <c r="D36" s="2" t="s">
        <v>199</v>
      </c>
      <c r="E36" s="16" t="s">
        <v>199</v>
      </c>
      <c r="F36" s="2" t="s">
        <v>199</v>
      </c>
      <c r="G36" s="16" t="s">
        <v>199</v>
      </c>
      <c r="H36" s="16" t="s">
        <v>199</v>
      </c>
      <c r="I36" s="16" t="s">
        <v>199</v>
      </c>
      <c r="J36" s="12"/>
      <c r="K36" s="12"/>
      <c r="L36" s="12"/>
      <c r="M36" s="12"/>
      <c r="N36" s="12"/>
    </row>
    <row r="37" ht="42" customHeight="1" spans="1:14">
      <c r="A37" s="5" t="s">
        <v>7</v>
      </c>
      <c r="B37" s="5" t="s">
        <v>8</v>
      </c>
      <c r="C37" s="5" t="s">
        <v>9</v>
      </c>
      <c r="D37" s="5" t="s">
        <v>10</v>
      </c>
      <c r="E37" s="11" t="s">
        <v>11</v>
      </c>
      <c r="F37" s="5" t="s">
        <v>12</v>
      </c>
      <c r="G37" s="11" t="s">
        <v>13</v>
      </c>
      <c r="H37" s="11" t="s">
        <v>14</v>
      </c>
      <c r="I37" s="11" t="s">
        <v>15</v>
      </c>
      <c r="J37" s="12"/>
      <c r="K37" s="12"/>
      <c r="L37" s="12"/>
      <c r="M37" s="12"/>
      <c r="N37" s="12"/>
    </row>
    <row r="38" ht="25" customHeight="1" spans="1:14">
      <c r="A38" s="4" t="str">
        <f>留存与口径!A6</f>
        <v>Manner／M Stand</v>
      </c>
      <c r="B38" s="8">
        <f>留存与口径!B6</f>
        <v>11595</v>
      </c>
      <c r="C38" s="8">
        <f>留存与口径!H6</f>
        <v>39</v>
      </c>
      <c r="D38" s="14">
        <f>IFERROR(C38/B38*1000,0)</f>
        <v>3.36351875808538</v>
      </c>
      <c r="E38" s="20">
        <f>留存与口径!E6</f>
        <v>52.1</v>
      </c>
      <c r="F38" s="15">
        <f>留存与口径!F6</f>
        <v>0.083</v>
      </c>
      <c r="G38" s="21">
        <f>留存与口径!G6</f>
        <v>0.225</v>
      </c>
      <c r="H38" s="21">
        <f>留存与口径!D6</f>
        <v>0.089</v>
      </c>
      <c r="I38" s="21">
        <f>留存与口径!C6</f>
        <v>0.127</v>
      </c>
      <c r="J38" s="12"/>
      <c r="K38" s="12"/>
      <c r="L38" s="12"/>
      <c r="M38" s="12"/>
      <c r="N38" s="12"/>
    </row>
    <row r="39" ht="25" customHeight="1" spans="1:14">
      <c r="A39" s="4" t="str">
        <f>留存与口径!A7</f>
        <v>瑞幸／库迪</v>
      </c>
      <c r="B39" s="8">
        <f>留存与口径!B7</f>
        <v>923</v>
      </c>
      <c r="C39" s="8">
        <f>留存与口径!H7</f>
        <v>10</v>
      </c>
      <c r="D39" s="14">
        <f>IFERROR(C39/B39*1000,0)</f>
        <v>10.8342361863489</v>
      </c>
      <c r="E39" s="20">
        <f>留存与口径!E7</f>
        <v>91.5</v>
      </c>
      <c r="F39" s="15">
        <f>留存与口径!F7</f>
        <v>0.091</v>
      </c>
      <c r="G39" s="21">
        <f>留存与口径!G7</f>
        <v>0.287</v>
      </c>
      <c r="H39" s="21">
        <f>留存与口径!D7</f>
        <v>0.107</v>
      </c>
      <c r="I39" s="21">
        <f>留存与口径!C7</f>
        <v>0.095</v>
      </c>
      <c r="J39" s="12"/>
      <c r="K39" s="12"/>
      <c r="L39" s="12"/>
      <c r="M39" s="12"/>
      <c r="N39" s="12"/>
    </row>
    <row r="40" ht="25" customHeight="1" spans="1:14">
      <c r="A40" s="4" t="str">
        <f>留存与口径!A8</f>
        <v>咖啡成本</v>
      </c>
      <c r="B40" s="8">
        <f>留存与口径!B8</f>
        <v>885</v>
      </c>
      <c r="C40" s="8">
        <f>留存与口径!H8</f>
        <v>14</v>
      </c>
      <c r="D40" s="14">
        <f>IFERROR(C40/B40*1000,0)</f>
        <v>15.819209039548</v>
      </c>
      <c r="E40" s="20">
        <f>留存与口径!E8</f>
        <v>46.5</v>
      </c>
      <c r="F40" s="15">
        <f>留存与口径!F8</f>
        <v>0.063</v>
      </c>
      <c r="G40" s="21">
        <f>留存与口径!G8</f>
        <v>0.252</v>
      </c>
      <c r="H40" s="21">
        <f>留存与口径!D8</f>
        <v>0.068</v>
      </c>
      <c r="I40" s="21">
        <f>留存与口径!C8</f>
        <v>0.082</v>
      </c>
      <c r="J40" s="12"/>
      <c r="K40" s="12"/>
      <c r="L40" s="12"/>
      <c r="M40" s="12"/>
      <c r="N40" s="12"/>
    </row>
    <row r="41" ht="25" customHeight="1" spans="1:14">
      <c r="A41" s="4" t="str">
        <f>留存与口径!A9</f>
        <v>母婴总览</v>
      </c>
      <c r="B41" s="8">
        <f>留存与口径!B9</f>
        <v>297</v>
      </c>
      <c r="C41" s="8">
        <f>留存与口径!H9</f>
        <v>1</v>
      </c>
      <c r="D41" s="14">
        <f>IFERROR(C41/B41*1000,0)</f>
        <v>3.36700336700337</v>
      </c>
      <c r="E41" s="20">
        <f>留存与口径!E9</f>
        <v>23.2</v>
      </c>
      <c r="F41" s="15">
        <f>留存与口径!F9</f>
        <v>0.042</v>
      </c>
      <c r="G41" s="21">
        <f>留存与口径!G9</f>
        <v>0.379</v>
      </c>
      <c r="H41" s="21">
        <f>留存与口径!D9</f>
        <v>0.066</v>
      </c>
      <c r="I41" s="21">
        <f>留存与口径!C9</f>
        <v>0.082</v>
      </c>
      <c r="J41" s="12"/>
      <c r="K41" s="12"/>
      <c r="L41" s="12"/>
      <c r="M41" s="12"/>
      <c r="N41" s="12"/>
    </row>
    <row r="42" ht="25" customHeight="1" spans="1:14">
      <c r="A42" s="4" t="str">
        <f>留存与口径!A10</f>
        <v>星巴克</v>
      </c>
      <c r="B42" s="8">
        <f>留存与口径!B10</f>
        <v>631</v>
      </c>
      <c r="C42" s="8">
        <f>留存与口径!H10</f>
        <v>4</v>
      </c>
      <c r="D42" s="14">
        <f>IFERROR(C42/B42*1000,0)</f>
        <v>6.3391442155309</v>
      </c>
      <c r="E42" s="20">
        <f>留存与口径!E10</f>
        <v>44.9</v>
      </c>
      <c r="F42" s="15">
        <f>留存与口径!F10</f>
        <v>0.043</v>
      </c>
      <c r="G42" s="21">
        <f>留存与口径!G10</f>
        <v>0.224</v>
      </c>
      <c r="H42" s="21">
        <f>留存与口径!D10</f>
        <v>0.111</v>
      </c>
      <c r="I42" s="21">
        <f>留存与口径!C10</f>
        <v>0.1</v>
      </c>
      <c r="J42" s="12"/>
      <c r="K42" s="12"/>
      <c r="L42" s="12"/>
      <c r="M42" s="12"/>
      <c r="N42" s="12"/>
    </row>
    <row r="43" ht="25" customHeight="1" spans="1:14">
      <c r="A43" s="4"/>
      <c r="B43" s="4"/>
      <c r="C43" s="4"/>
      <c r="D43" s="4"/>
      <c r="E43" s="12"/>
      <c r="F43" s="4"/>
      <c r="G43" s="12"/>
      <c r="H43" s="12"/>
      <c r="I43" s="12"/>
      <c r="J43" s="12"/>
      <c r="K43" s="12"/>
      <c r="L43" s="12"/>
      <c r="M43" s="12"/>
      <c r="N43" s="12"/>
    </row>
    <row r="44" ht="25" customHeight="1" spans="1:14">
      <c r="A44" s="4"/>
      <c r="B44" s="4"/>
      <c r="C44" s="4"/>
      <c r="D44" s="4"/>
      <c r="E44" s="12"/>
      <c r="F44" s="4"/>
      <c r="G44" s="12"/>
      <c r="H44" s="12"/>
      <c r="I44" s="12"/>
      <c r="J44" s="12"/>
      <c r="K44" s="12"/>
      <c r="L44" s="12"/>
      <c r="M44" s="12"/>
      <c r="N44" s="12"/>
    </row>
    <row r="45" ht="25" customHeight="1" spans="1:14">
      <c r="A45" s="4"/>
      <c r="B45" s="4"/>
      <c r="C45" s="4"/>
      <c r="D45" s="4"/>
      <c r="E45" s="12"/>
      <c r="F45" s="4"/>
      <c r="G45" s="12"/>
      <c r="H45" s="12"/>
      <c r="I45" s="12"/>
      <c r="J45" s="12"/>
      <c r="K45" s="12"/>
      <c r="L45" s="12"/>
      <c r="M45" s="12"/>
      <c r="N45" s="12"/>
    </row>
    <row r="46" ht="42" customHeight="1" spans="1:14">
      <c r="A46" s="5" t="s">
        <v>200</v>
      </c>
      <c r="B46" s="5" t="s">
        <v>201</v>
      </c>
      <c r="C46" s="4"/>
      <c r="D46" s="4"/>
      <c r="E46" s="12"/>
      <c r="F46" s="4"/>
      <c r="G46" s="12"/>
      <c r="H46" s="12"/>
      <c r="I46" s="12"/>
      <c r="J46" s="12"/>
      <c r="K46" s="12"/>
      <c r="L46" s="12"/>
      <c r="M46" s="12"/>
      <c r="N46" s="12"/>
    </row>
    <row r="47" ht="25" customHeight="1" spans="1:14">
      <c r="A47" s="4" t="s">
        <v>2</v>
      </c>
      <c r="B47" s="8">
        <f>账号数据!B27</f>
        <v>121</v>
      </c>
      <c r="C47" s="4"/>
      <c r="D47" s="4"/>
      <c r="E47" s="12"/>
      <c r="F47" s="4"/>
      <c r="G47" s="12"/>
      <c r="H47" s="12"/>
      <c r="I47" s="12"/>
      <c r="J47" s="12"/>
      <c r="K47" s="12"/>
      <c r="L47" s="12"/>
      <c r="M47" s="12"/>
      <c r="N47" s="12"/>
    </row>
    <row r="48" ht="25" customHeight="1" spans="1:14">
      <c r="A48" s="4" t="s">
        <v>3</v>
      </c>
      <c r="B48" s="8">
        <f>账号数据!B9</f>
        <v>13000</v>
      </c>
      <c r="C48" s="4"/>
      <c r="D48" s="4"/>
      <c r="E48" s="12"/>
      <c r="F48" s="4"/>
      <c r="G48" s="12"/>
      <c r="H48" s="12"/>
      <c r="I48" s="12"/>
      <c r="J48" s="12"/>
      <c r="K48" s="12"/>
      <c r="L48" s="12"/>
      <c r="M48" s="12"/>
      <c r="N48" s="12"/>
    </row>
    <row r="49" ht="25" customHeight="1" spans="1:14">
      <c r="A49" s="4" t="s">
        <v>4</v>
      </c>
      <c r="B49" s="8">
        <f>账号数据!B20</f>
        <v>74</v>
      </c>
      <c r="C49" s="4"/>
      <c r="D49" s="4"/>
      <c r="E49" s="12"/>
      <c r="F49" s="4"/>
      <c r="G49" s="12"/>
      <c r="H49" s="12"/>
      <c r="I49" s="12"/>
      <c r="J49" s="12"/>
      <c r="K49" s="12"/>
      <c r="L49" s="12"/>
      <c r="M49" s="12"/>
      <c r="N49" s="12"/>
    </row>
    <row r="50" ht="25" customHeight="1" spans="1:14">
      <c r="A50" s="4" t="s">
        <v>202</v>
      </c>
      <c r="B50" s="8">
        <f>COUNTA(笔记数据!A6:A19)</f>
        <v>14</v>
      </c>
      <c r="C50" s="4"/>
      <c r="D50" s="4"/>
      <c r="E50" s="12"/>
      <c r="F50" s="4"/>
      <c r="G50" s="12"/>
      <c r="H50" s="12"/>
      <c r="I50" s="12"/>
      <c r="J50" s="12"/>
      <c r="K50" s="12"/>
      <c r="L50" s="12"/>
      <c r="M50" s="12"/>
      <c r="N50" s="12"/>
    </row>
    <row r="51" ht="25" customHeight="1" spans="1:14">
      <c r="A51" s="4" t="s">
        <v>203</v>
      </c>
      <c r="B51" s="8">
        <f>D21</f>
        <v>17651</v>
      </c>
      <c r="C51" s="4"/>
      <c r="D51" s="4"/>
      <c r="E51" s="12"/>
      <c r="F51" s="4"/>
      <c r="G51" s="12"/>
      <c r="H51" s="12"/>
      <c r="I51" s="12"/>
      <c r="J51" s="12"/>
      <c r="K51" s="12"/>
      <c r="L51" s="12"/>
      <c r="M51" s="12"/>
      <c r="N51" s="12"/>
    </row>
    <row r="52" ht="25" customHeight="1" spans="1:14">
      <c r="A52" s="4" t="s">
        <v>204</v>
      </c>
      <c r="B52" s="15">
        <f>D9/D21</f>
        <v>0.656846637584273</v>
      </c>
      <c r="C52" s="4"/>
      <c r="D52" s="4"/>
      <c r="E52" s="12"/>
      <c r="F52" s="4"/>
      <c r="G52" s="12"/>
      <c r="H52" s="12"/>
      <c r="I52" s="12"/>
      <c r="J52" s="12"/>
      <c r="K52" s="12"/>
      <c r="L52" s="12"/>
      <c r="M52" s="12"/>
      <c r="N52" s="12"/>
    </row>
    <row r="53" ht="25" customHeight="1" spans="1:14">
      <c r="A53" s="4" t="s">
        <v>205</v>
      </c>
      <c r="B53" s="15">
        <f>C26/D21</f>
        <v>0.795025777576341</v>
      </c>
      <c r="C53" s="4"/>
      <c r="D53" s="4"/>
      <c r="E53" s="12"/>
      <c r="F53" s="4"/>
      <c r="G53" s="12"/>
      <c r="H53" s="12"/>
      <c r="I53" s="12"/>
      <c r="J53" s="12"/>
      <c r="K53" s="12"/>
      <c r="L53" s="12"/>
      <c r="M53" s="12"/>
      <c r="N53" s="12"/>
    </row>
    <row r="54" ht="25" customHeight="1" spans="1:14">
      <c r="A54" s="4" t="s">
        <v>206</v>
      </c>
      <c r="B54" s="15">
        <f>D26/E21</f>
        <v>0.752808988764045</v>
      </c>
      <c r="C54" s="4"/>
      <c r="D54" s="4"/>
      <c r="E54" s="12"/>
      <c r="F54" s="4"/>
      <c r="G54" s="12"/>
      <c r="H54" s="12"/>
      <c r="I54" s="12"/>
      <c r="J54" s="12"/>
      <c r="K54" s="12"/>
      <c r="L54" s="12"/>
      <c r="M54" s="12"/>
      <c r="N54" s="12"/>
    </row>
    <row r="55" ht="25" customHeight="1" spans="1:14">
      <c r="A55" s="4" t="s">
        <v>207</v>
      </c>
      <c r="B55" s="8">
        <f>账号数据!B20-账号数据!B21</f>
        <v>73</v>
      </c>
      <c r="C55" s="4"/>
      <c r="D55" s="4"/>
      <c r="E55" s="12"/>
      <c r="F55" s="4"/>
      <c r="G55" s="12"/>
      <c r="H55" s="12"/>
      <c r="I55" s="12"/>
      <c r="J55" s="12"/>
      <c r="K55" s="12"/>
      <c r="L55" s="12"/>
      <c r="M55" s="12"/>
      <c r="N55" s="12"/>
    </row>
    <row r="56" ht="25" customHeight="1" spans="1:14">
      <c r="A56" s="4" t="s">
        <v>208</v>
      </c>
      <c r="B56" s="8">
        <f>账号数据!B22</f>
        <v>74</v>
      </c>
      <c r="C56" s="4"/>
      <c r="D56" s="4"/>
      <c r="E56" s="12"/>
      <c r="F56" s="4"/>
      <c r="G56" s="12"/>
      <c r="H56" s="12"/>
      <c r="I56" s="12"/>
      <c r="J56" s="12"/>
      <c r="K56" s="12"/>
      <c r="L56" s="12"/>
      <c r="M56" s="12"/>
      <c r="N56" s="12"/>
    </row>
    <row r="57" ht="25" customHeight="1" spans="1:14">
      <c r="A57" s="4"/>
      <c r="B57" s="4"/>
      <c r="C57" s="4"/>
      <c r="D57" s="4"/>
      <c r="E57" s="12"/>
      <c r="F57" s="4"/>
      <c r="G57" s="12"/>
      <c r="H57" s="12"/>
      <c r="I57" s="12"/>
      <c r="J57" s="12"/>
      <c r="K57" s="12"/>
      <c r="L57" s="12"/>
      <c r="M57" s="12"/>
      <c r="N57" s="12"/>
    </row>
    <row r="58" ht="25" customHeight="1" spans="1:14">
      <c r="A58" s="4"/>
      <c r="B58" s="4"/>
      <c r="C58" s="4"/>
      <c r="D58" s="4"/>
      <c r="E58" s="12"/>
      <c r="F58" s="4"/>
      <c r="G58" s="12"/>
      <c r="H58" s="12"/>
      <c r="I58" s="12"/>
      <c r="J58" s="12"/>
      <c r="K58" s="12"/>
      <c r="L58" s="12"/>
      <c r="M58" s="12"/>
      <c r="N58" s="12"/>
    </row>
    <row r="59" ht="42" customHeight="1" spans="1:14">
      <c r="A59" s="5" t="s">
        <v>209</v>
      </c>
      <c r="B59" s="5" t="s">
        <v>10</v>
      </c>
      <c r="C59" s="4"/>
      <c r="D59" s="4"/>
      <c r="E59" s="12"/>
      <c r="F59" s="4"/>
      <c r="G59" s="12"/>
      <c r="H59" s="12"/>
      <c r="I59" s="12"/>
      <c r="J59" s="12"/>
      <c r="K59" s="12"/>
      <c r="L59" s="12"/>
      <c r="M59" s="12"/>
      <c r="N59" s="12"/>
    </row>
    <row r="60" ht="25" customHeight="1" spans="1:14">
      <c r="A60" s="4" t="str">
        <f>A40</f>
        <v>咖啡成本</v>
      </c>
      <c r="B60" s="14">
        <f>D40</f>
        <v>15.819209039548</v>
      </c>
      <c r="C60" s="4"/>
      <c r="D60" s="4"/>
      <c r="E60" s="12"/>
      <c r="F60" s="4"/>
      <c r="G60" s="12"/>
      <c r="H60" s="12"/>
      <c r="I60" s="12"/>
      <c r="J60" s="12"/>
      <c r="K60" s="12"/>
      <c r="L60" s="12"/>
      <c r="M60" s="12"/>
      <c r="N60" s="12"/>
    </row>
    <row r="61" ht="25" customHeight="1" spans="1:14">
      <c r="A61" s="4" t="str">
        <f>A39</f>
        <v>瑞幸／库迪</v>
      </c>
      <c r="B61" s="14">
        <f>D39</f>
        <v>10.8342361863489</v>
      </c>
      <c r="C61" s="4"/>
      <c r="D61" s="4"/>
      <c r="E61" s="12"/>
      <c r="F61" s="4"/>
      <c r="G61" s="12"/>
      <c r="H61" s="12"/>
      <c r="I61" s="12"/>
      <c r="J61" s="12"/>
      <c r="K61" s="12"/>
      <c r="L61" s="12"/>
      <c r="M61" s="12"/>
      <c r="N61" s="12"/>
    </row>
    <row r="62" ht="25" customHeight="1" spans="1:14">
      <c r="A62" s="4" t="str">
        <f>A42</f>
        <v>星巴克</v>
      </c>
      <c r="B62" s="14">
        <f>D42</f>
        <v>6.3391442155309</v>
      </c>
      <c r="C62" s="4"/>
      <c r="D62" s="4"/>
      <c r="E62" s="12"/>
      <c r="F62" s="4"/>
      <c r="G62" s="12"/>
      <c r="H62" s="12"/>
      <c r="I62" s="12"/>
      <c r="J62" s="12"/>
      <c r="K62" s="12"/>
      <c r="L62" s="12"/>
      <c r="M62" s="12"/>
      <c r="N62" s="12"/>
    </row>
    <row r="63" ht="25" customHeight="1" spans="1:14">
      <c r="A63" s="4" t="str">
        <f>A38</f>
        <v>Manner／M Stand</v>
      </c>
      <c r="B63" s="14">
        <f>D38</f>
        <v>3.36351875808538</v>
      </c>
      <c r="C63" s="4"/>
      <c r="D63" s="4"/>
      <c r="E63" s="12"/>
      <c r="F63" s="4"/>
      <c r="G63" s="12"/>
      <c r="H63" s="12"/>
      <c r="I63" s="12"/>
      <c r="J63" s="12"/>
      <c r="K63" s="12"/>
      <c r="L63" s="12"/>
      <c r="M63" s="12"/>
      <c r="N63" s="12"/>
    </row>
    <row r="64" ht="25" customHeight="1" spans="1:14">
      <c r="A64" s="4"/>
      <c r="B64" s="4"/>
      <c r="C64" s="4"/>
      <c r="D64" s="4"/>
      <c r="E64" s="12"/>
      <c r="F64" s="4"/>
      <c r="G64" s="12"/>
      <c r="H64" s="12"/>
      <c r="I64" s="12"/>
      <c r="J64" s="12"/>
      <c r="K64" s="12"/>
      <c r="L64" s="12"/>
      <c r="M64" s="12"/>
      <c r="N64" s="12"/>
    </row>
  </sheetData>
  <mergeCells count="4">
    <mergeCell ref="A1:N1"/>
    <mergeCell ref="A24:N24"/>
    <mergeCell ref="A36:I36"/>
    <mergeCell ref="A2:N3"/>
  </mergeCells>
  <conditionalFormatting sqref="F6:F19">
    <cfRule type="dataBar" priority="1">
      <dataBar>
        <cfvo type="min"/>
        <cfvo type="max"/>
        <color rgb="FF0A8078"/>
      </dataBar>
      <extLst>
        <ext xmlns:x14="http://schemas.microsoft.com/office/spreadsheetml/2009/9/main" uri="{B025F937-C7B1-47D3-B67F-A62EFF666E3E}">
          <x14:id>{183553dc-03f6-427b-b427-bfbd83d85ba0}</x14:id>
        </ext>
      </extLst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3553dc-03f6-427b-b427-bfbd83d85ba0}">
            <x14:dataBar minLength="10" maxLength="90" gradient="0" negativeBarColorSameAsPositive="1">
              <x14:cfvo type="min"/>
              <x14:cfvo type="max"/>
              <x14:axisColor indexed="65"/>
            </x14:dataBar>
          </x14:cfRule>
          <xm:sqref>F6:F19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文字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诊断结论</vt:lpstr>
      <vt:lpstr>账号数据</vt:lpstr>
      <vt:lpstr>笔记数据</vt:lpstr>
      <vt:lpstr>留存与口径</vt:lpstr>
      <vt:lpstr>比较分析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June-丁佳</cp:lastModifiedBy>
  <dcterms:created xsi:type="dcterms:W3CDTF">2026-09-05T17:52:13Z</dcterms:created>
  <dcterms:modified xsi:type="dcterms:W3CDTF">2026-09-05T17:58:37Z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2052-6.11.0.8885</vt:lpwstr>
  </property>
  <property fmtid="{D5CDD505-2E9C-101B-9397-08002B2CF9AE}" pid="3" name="ICV">
    <vt:lpwstr>B00DDF58D98758ACCDE79B6A5766F618_43</vt:lpwstr>
  </property>
</Properties>
</file>